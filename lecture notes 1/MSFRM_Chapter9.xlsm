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hayes\Desktop\Lecture_1\"/>
    </mc:Choice>
  </mc:AlternateContent>
  <bookViews>
    <workbookView xWindow="240" yWindow="165" windowWidth="6480" windowHeight="3720" activeTab="1" xr2:uid="{00000000-000D-0000-FFFF-FFFF00000000}"/>
  </bookViews>
  <sheets>
    <sheet name="Spreadsheet9.1 (2)" sheetId="27" r:id="rId1"/>
    <sheet name="Spreadsheet9.1" sheetId="19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IHR1">[1]HedgingCVA!$AD$5</definedName>
    <definedName name="_IHR2">[1]HedgingCVA!$AD$6</definedName>
    <definedName name="_IHR3">[1]HedgingCVA!$AD$7</definedName>
    <definedName name="_IHR4">[1]HedgingCVA!$AD$8</definedName>
    <definedName name="_IHR5">[1]HedgingCVA!$AD$9</definedName>
    <definedName name="_Mu3" localSheetId="0">#REF!</definedName>
    <definedName name="_Mu3">#REF!</definedName>
    <definedName name="_Val1">[2]CVA!$J$3</definedName>
    <definedName name="_Val2">[2]CVA!$J$4</definedName>
    <definedName name="_Val3">[2]CVA!$J$5</definedName>
    <definedName name="_VAR2">[1]LiquidationTimescale!$D$20</definedName>
    <definedName name="_VAR3">[1]LiquidationTimescale!$D$26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uedInterest">'[5]Bond Price with Excel'!$B$24</definedName>
    <definedName name="ActIntensity1" localSheetId="0">[6]CVA!#REF!</definedName>
    <definedName name="ActIntensity1">[6]CVA!#REF!</definedName>
    <definedName name="ActIntensity2" localSheetId="0">[6]CVA!#REF!</definedName>
    <definedName name="ActIntensity2">[6]CVA!#REF!</definedName>
    <definedName name="AgentRec" localSheetId="0">[2]CVA!#REF!</definedName>
    <definedName name="AgentRec">[2]CVA!#REF!</definedName>
    <definedName name="Alpha" localSheetId="1">Spreadsheet9.1!#REF!</definedName>
    <definedName name="Alpha" localSheetId="0">'Spreadsheet9.1 (2)'!#REF!</definedName>
    <definedName name="Alpha">#REF!</definedName>
    <definedName name="AlphaEPE">[2]Portfolio!$J$9</definedName>
    <definedName name="AlphaParam">[1]LiquidationTimescale!$D$25</definedName>
    <definedName name="AmortisedTime">[1]LiquidationTimescale!$D$23</definedName>
    <definedName name="amount1">[7]SimpleCovarianceWithWeights!$J$3</definedName>
    <definedName name="amount2">[7]SimpleCovarianceWithWeights!$K$3</definedName>
    <definedName name="AmountToLiquidate">[1]LiquidationTimescale!$D$15</definedName>
    <definedName name="Asset2" localSheetId="0">[8]MonteCarlo!#REF!</definedName>
    <definedName name="Asset2">[8]MonteCarlo!#REF!</definedName>
    <definedName name="AssetCorrelation">[2]Portfolio!$J$11</definedName>
    <definedName name="AssetMC">[8]MonteCarlo!$C$3</definedName>
    <definedName name="AssetPrice">[1]LiquidationTimescale!$D$12</definedName>
    <definedName name="Assetvol">[9]CreditGrades!$C$14</definedName>
    <definedName name="At">[9]CreditGrades!$C$15</definedName>
    <definedName name="AvDefProb" localSheetId="0">[2]Portfolio!#REF!</definedName>
    <definedName name="AvDefProb">[2]Portfolio!#REF!</definedName>
    <definedName name="AvRecovery" localSheetId="0">[9]Portfolio!#REF!</definedName>
    <definedName name="AvRecovery">[9]Portfolio!#REF!</definedName>
    <definedName name="AvSpread">[10]IndexBasis!$I$10</definedName>
    <definedName name="b_Param" localSheetId="1">Spreadsheet9.1!$C$12</definedName>
    <definedName name="b_Param" localSheetId="0">'Spreadsheet9.1 (2)'!$C$12</definedName>
    <definedName name="b_Param">#REF!</definedName>
    <definedName name="b_Param_">#REF!</definedName>
    <definedName name="Barrier">[4]OptionPricer!$C$20</definedName>
    <definedName name="Beta">[1]LiquidationTimescale!$D$14</definedName>
    <definedName name="BondPrice" localSheetId="1">[11]Spreadsheet9.6!#REF!</definedName>
    <definedName name="BondPrice" localSheetId="0">[11]Spreadsheet9.6!#REF!</definedName>
    <definedName name="BondPrice">#REF!</definedName>
    <definedName name="calibopencol" localSheetId="1">OFFSET([0]!LGMChoice,2,0,[0]!NumLGMChoices,1)</definedName>
    <definedName name="calibopencol" localSheetId="0">OFFSET([0]!LGMChoice,2,0,[0]!NumLGMChoices,1)</definedName>
    <definedName name="calibopencol">OFFSET([0]!LGMChoice,2,0,[0]!NumLGMChoices,1)</definedName>
    <definedName name="calibopencol1" localSheetId="1">OFFSET([0]!LGMChoice,2,0,[0]!NumLGMChoices,1)</definedName>
    <definedName name="calibopencol1" localSheetId="0">OFFSET([0]!LGMChoice,2,0,[0]!NumLGMChoices,1)</definedName>
    <definedName name="calibopencol1">OFFSET([0]!LGMChoice,2,0,[0]!NumLGMChoices,1)</definedName>
    <definedName name="CallRetYesNo">[2]CollateralMarginCall!$C$14</definedName>
    <definedName name="CallYesNo">[1]CollateralCalculation!$C$21</definedName>
    <definedName name="CallYesNo2">[1]CollateralCalculation!$D$21</definedName>
    <definedName name="CholeskyInverse" localSheetId="0">#REF!</definedName>
    <definedName name="CholeskyInverse">#REF!</definedName>
    <definedName name="CholeskyMatrix" localSheetId="0">#REF!</definedName>
    <definedName name="CholeskyMatrix">#REF!</definedName>
    <definedName name="CleanPrice">'[5]Bond Price with Excel'!$B$23</definedName>
    <definedName name="CntrptyDefProb">[2]CDSCntrptyRisk!$C$14</definedName>
    <definedName name="CntrptyRec" localSheetId="0">[2]CVA!#REF!</definedName>
    <definedName name="CntrptyRec">[2]CVA!#REF!</definedName>
    <definedName name="CntrptySpread">[2]CDSCntrptyRisk!$C$8</definedName>
    <definedName name="Collateral">[1]CollateralExposureSimulation!$K$138</definedName>
    <definedName name="CollateralHeld" localSheetId="1">Spreadsheet9.1!#REF!</definedName>
    <definedName name="CollateralHeld" localSheetId="0">'Spreadsheet9.1 (2)'!#REF!</definedName>
    <definedName name="CollateralHeld">#REF!</definedName>
    <definedName name="CollateralHeld_A" localSheetId="1">Spreadsheet9.1!#REF!</definedName>
    <definedName name="CollateralHeld_A" localSheetId="0">'Spreadsheet9.1 (2)'!#REF!</definedName>
    <definedName name="CollateralHeld_A">#REF!</definedName>
    <definedName name="CollateralHeld2">[1]CollateralCalculation!$D$15</definedName>
    <definedName name="CollateralisedExposure">[1]CollateralExposureSimulation!$K$264</definedName>
    <definedName name="CollateralRequired">[2]CollateralMarginCall!$C$13</definedName>
    <definedName name="CollateralRequired2">[1]CollateralCalculation!$D$20</definedName>
    <definedName name="ConfidenceAlpha">[2]Portfolio!$J$8</definedName>
    <definedName name="Constant">[4]CoherentRiskMeasuresExample!$I$7</definedName>
    <definedName name="ConstTerm">[8]MonteCarlo!$F$6</definedName>
    <definedName name="CopulaCorrelation">[2]CDSCntrptyRisk!$C$9</definedName>
    <definedName name="CorrectionTerm">'[2]Impact of PV'!$C$22</definedName>
    <definedName name="Correl">[1]SimpleWrongWay!$C$13</definedName>
    <definedName name="Correlation">[2]EPEAllocation!$C$11</definedName>
    <definedName name="CorrelationMatrix" localSheetId="0">#REF!</definedName>
    <definedName name="CorrelationMatrix">#REF!</definedName>
    <definedName name="CorrelExpColl">[1]CollateralandCorrelation!$C$11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Inverse">[5]MeanVariance!$G$11:$J$14</definedName>
    <definedName name="CREDIT_STAMP">"DSPricer"</definedName>
    <definedName name="CSA" localSheetId="1">Spreadsheet9.1!#REF!</definedName>
    <definedName name="CSA" localSheetId="0">'Spreadsheet9.1 (2)'!#REF!</definedName>
    <definedName name="CSA">#REF!</definedName>
    <definedName name="CSA_A" localSheetId="1">Spreadsheet9.1!#REF!</definedName>
    <definedName name="CSA_A" localSheetId="0">'Spreadsheet9.1 (2)'!#REF!</definedName>
    <definedName name="CSA_A">#REF!</definedName>
    <definedName name="CSA_B" localSheetId="1">Spreadsheet9.1!#REF!</definedName>
    <definedName name="CSA_B" localSheetId="0">'Spreadsheet9.1 (2)'!#REF!</definedName>
    <definedName name="CSA_B">#REF!</definedName>
    <definedName name="CurrentEquity">[3]TradingStrategy!$C$8</definedName>
    <definedName name="CurrentExposure">[1]CollateralExposureSimulation!$C$17</definedName>
    <definedName name="CurrentSpread">[3]TradingStrategy!$C$9</definedName>
    <definedName name="CurrentStock">[3]TreePricer!$C$14</definedName>
    <definedName name="CVA">[1]HedgingCVA!$B$4</definedName>
    <definedName name="DailyVol" localSheetId="0">[1]Liquidation!#REF!</definedName>
    <definedName name="DailyVol">[1]Liquidation!#REF!</definedName>
    <definedName name="DailyVol2" localSheetId="0">[1]Liquidation!#REF!</definedName>
    <definedName name="DailyVol2">[1]Liquidation!#REF!</definedName>
    <definedName name="DailyVolatility">[1]Liquidation!$D$15</definedName>
    <definedName name="DayCount" localSheetId="0">'[5]Bond Price with Excel'!#REF!</definedName>
    <definedName name="DayCount">'[5]Bond Price with Excel'!#REF!</definedName>
    <definedName name="DaysToLiquidation">[1]LiquidationTimescale!$D$16</definedName>
    <definedName name="Debt">[9]Merton!$C$17</definedName>
    <definedName name="DefProb">[9]Merton!$C$23</definedName>
    <definedName name="DefThreshold">[1]SimpleWrongWay!$C$18</definedName>
    <definedName name="deliveredvol">[4]HedgingSimulation!$G$8</definedName>
    <definedName name="DirtyPrice">'[5]Bond Price with Excel'!$B$25</definedName>
    <definedName name="Draws">[4]BinomialVsNormal!$C$7</definedName>
    <definedName name="drift2">[4]HedgingSimulation!$G$7</definedName>
    <definedName name="Dt">[8]MonteCarlo!$F$5</definedName>
    <definedName name="Dump">[2]MonteCarlo!$N$2</definedName>
    <definedName name="Duration">'[5]Bond Price with Excel'!$B$27</definedName>
    <definedName name="Dval">[9]CreditGrades!$C$10</definedName>
    <definedName name="EE" localSheetId="1">Spreadsheet9.1!#REF!</definedName>
    <definedName name="EE" localSheetId="0">'Spreadsheet9.1 (2)'!#REF!</definedName>
    <definedName name="EE">#REF!</definedName>
    <definedName name="EEnc" localSheetId="0">#REF!</definedName>
    <definedName name="EEnc">#REF!</definedName>
    <definedName name="EEnocollateral" localSheetId="0">#REF!</definedName>
    <definedName name="EEnocollateral">#REF!</definedName>
    <definedName name="EEwc">#REF!</definedName>
    <definedName name="EPE">[2]EPEAllocation!$C$19</definedName>
    <definedName name="EPEs">[2]Portfolio!$G$8</definedName>
    <definedName name="Equity">[9]Merton!$C$16</definedName>
    <definedName name="Errors">[2]CDSStripper!$H$9</definedName>
    <definedName name="EstBeta">[1]Liquidation!$D$17</definedName>
    <definedName name="Exposure">[1]CollateralExposureSimulation!$K$12</definedName>
    <definedName name="Exposure2">[1]ExposureSimulation!$F$146</definedName>
    <definedName name="ExposurePaths2">[1]ExposureSimulation!$L$145</definedName>
    <definedName name="Exposures">[2]Portfolio!$E$8</definedName>
    <definedName name="ExposureStart" localSheetId="0">#REF!</definedName>
    <definedName name="ExposureStart">#REF!</definedName>
    <definedName name="ExposureVol">[2]CollateralMarginCall!$G$6</definedName>
    <definedName name="ExpRetVector">[5]MeanVariance!$D$3:$D$6</definedName>
    <definedName name="FaceValue">[9]Merton!$C$6</definedName>
    <definedName name="FirmValue">[9]Merton!$C$7</definedName>
    <definedName name="FirstQCDDelta" localSheetId="0">[12]CDO!#REF!</definedName>
    <definedName name="FirstQCDDelta">[12]CDO!#REF!</definedName>
    <definedName name="Fwd">[3]TreePricer!$C$25</definedName>
    <definedName name="Gamma">[5]MeanVariance!$O$23</definedName>
    <definedName name="gamma2">[5]MeanVariance!$C$32</definedName>
    <definedName name="GuessYield">[5]YieldExample!$C$3</definedName>
    <definedName name="HazardRae" localSheetId="0">[13]Survival!#REF!</definedName>
    <definedName name="HazardRae">[13]Survival!#REF!</definedName>
    <definedName name="HazardRage" localSheetId="0">[13]Survival!#REF!</definedName>
    <definedName name="HazardRage">[13]Survival!#REF!</definedName>
    <definedName name="Hazardrate">[1]SimpleWrongWay!$C$14</definedName>
    <definedName name="HazardRates">[2]CDSStripper!$C$9</definedName>
    <definedName name="HedgeAmount">[3]TradingStrategy!$C$10</definedName>
    <definedName name="IA" localSheetId="1">Spreadsheet9.1!#REF!</definedName>
    <definedName name="IA" localSheetId="0">'Spreadsheet9.1 (2)'!#REF!</definedName>
    <definedName name="IA">#REF!</definedName>
    <definedName name="IA_A" localSheetId="1">Spreadsheet9.1!#REF!</definedName>
    <definedName name="IA_A" localSheetId="0">'Spreadsheet9.1 (2)'!#REF!</definedName>
    <definedName name="IA_A">#REF!</definedName>
    <definedName name="IA_B" localSheetId="1">Spreadsheet9.1!#REF!</definedName>
    <definedName name="IA_B" localSheetId="0">'Spreadsheet9.1 (2)'!#REF!</definedName>
    <definedName name="IA_B">#REF!</definedName>
    <definedName name="ImpliedVolatility">[4]HedgingSimulation!$C$10</definedName>
    <definedName name="IncludeBaseCase" localSheetId="1">[11]Spreadsheet9.5!$E$10</definedName>
    <definedName name="IncludeBaseCase" localSheetId="0">[11]Spreadsheet9.5!$E$10</definedName>
    <definedName name="IncludeBaseCase">#REF!</definedName>
    <definedName name="IncludeDeal1" localSheetId="0">#REF!</definedName>
    <definedName name="IncludeDeal1">#REF!</definedName>
    <definedName name="IncludeDeal2" localSheetId="0">#REF!</definedName>
    <definedName name="IncludeDeal2">#REF!</definedName>
    <definedName name="IncludeDeal3" localSheetId="0">#REF!</definedName>
    <definedName name="IncludeDeal3">#REF!</definedName>
    <definedName name="IncludeDeal4" localSheetId="0">#REF!</definedName>
    <definedName name="IncludeDeal4">#REF!</definedName>
    <definedName name="IncludeDeal5" localSheetId="1">[11]Spreadsheet9.2!#REF!</definedName>
    <definedName name="IncludeDeal5" localSheetId="0">[11]Spreadsheet9.2!#REF!</definedName>
    <definedName name="IncludeDeal5">#REF!</definedName>
    <definedName name="IncludeDeal6" localSheetId="1">[11]Spreadsheet9.2!#REF!</definedName>
    <definedName name="IncludeDeal6" localSheetId="0">[11]Spreadsheet9.2!#REF!</definedName>
    <definedName name="IncludeDeal6">#REF!</definedName>
    <definedName name="IndependentAmount">[2]CollateralMarginCall!$C$7</definedName>
    <definedName name="IndependentAmount2">[2]CollateralMarginCall!$D$7</definedName>
    <definedName name="InitialCollateral">[1]CollateralandCorrelation!$C$15</definedName>
    <definedName name="InitialExposure">[1]CollateralandCorrelation!$C$14</definedName>
    <definedName name="InitialPV">'[14]Sheet1 (2)'!$D$4</definedName>
    <definedName name="IntensityCntrpty">[2]CVA!$D$8</definedName>
    <definedName name="IntensitySystemic" localSheetId="0">[2]CVA!#REF!</definedName>
    <definedName name="IntensitySystemic">[2]CVA!#REF!</definedName>
    <definedName name="IntensityUs" localSheetId="0">[2]CVA!#REF!</definedName>
    <definedName name="IntensityUs">[2]CVA!#REF!</definedName>
    <definedName name="InterCorrel" localSheetId="0">[12]CDO!#REF!</definedName>
    <definedName name="InterCorrel">[12]CDO!#REF!</definedName>
    <definedName name="InterestR">[3]TreePricer!$C$18</definedName>
    <definedName name="IntRate">[4]HedgingSimulation!$C$9</definedName>
    <definedName name="IR">[4]OptionPricer!$C$9</definedName>
    <definedName name="IR0" localSheetId="1">Spreadsheet9.1!$C$10</definedName>
    <definedName name="IR0" localSheetId="0">'Spreadsheet9.1 (2)'!$C$10</definedName>
    <definedName name="IR0">#REF!</definedName>
    <definedName name="IR0_">#REF!</definedName>
    <definedName name="IRate">[2]CVA!$C$13</definedName>
    <definedName name="IRMC">[8]MonteCarlo!$C$5</definedName>
    <definedName name="IRVol">[1]HedgingCVA!$B$13</definedName>
    <definedName name="Lamba">[9]CreditGrades!$C$8</definedName>
    <definedName name="lamda2">[4]ExponentialDampingEstimate!$C$6</definedName>
    <definedName name="lamda3">[4]ExponentialDampingEstimate!$C$6</definedName>
    <definedName name="Lbar">[9]CreditGrades!$C$7</definedName>
    <definedName name="LGD">[10]BaselIIFormula!$D$8</definedName>
    <definedName name="LGM_STAMP">"LGM"</definedName>
    <definedName name="LGMopencol" localSheetId="1">OFFSET([0]!LGMChoice,2,0,[0]!NumLGMChoices,1)</definedName>
    <definedName name="LGMopencol" localSheetId="0">OFFSET([0]!LGMChoice,2,0,[0]!NumLGMChoices,1)</definedName>
    <definedName name="LGMopencol">OFFSET([0]!LGMChoice,2,0,[0]!NumLGMChoices,1)</definedName>
    <definedName name="littled">[9]CreditGrades!$C$16</definedName>
    <definedName name="LossGivenDefault">[9]Merton!$C$25</definedName>
    <definedName name="LossonLiquidation" localSheetId="0">[1]LiquidationTimescale!#REF!</definedName>
    <definedName name="LossonLiquidation">[1]LiquidationTimescale!#REF!</definedName>
    <definedName name="Lower">[7]SimpleIntegration!$C$2</definedName>
    <definedName name="MargEPE">'[2]Impact of PV'!$C$19</definedName>
    <definedName name="MargEPE1">[2]EPEAllocation!$C$22</definedName>
    <definedName name="MargEPE2">[2]EPEAllocation!$D$22</definedName>
    <definedName name="Mat">[9]CreditGrades!$C$11</definedName>
    <definedName name="maturity">'[15]Class Problems'!$J$39</definedName>
    <definedName name="MaturityDate">'[5]Bond Price with Excel'!$B$16</definedName>
    <definedName name="MaturityMC">[8]MonteCarlo!$C$6</definedName>
    <definedName name="MCOutput">[2]MonteCarlo!$J$8</definedName>
    <definedName name="MCPaths">[2]CollateralMarginCall!$G$9</definedName>
    <definedName name="MCSims">[2]MonteCarlo!$C$8</definedName>
    <definedName name="Mean">[1]WCEandEPE!$C$11</definedName>
    <definedName name="Mean1">[7]SimpleCovarianceWithWeights!$C$6</definedName>
    <definedName name="Mean2">[7]SimpleCovarianceWithWeights!$C$7</definedName>
    <definedName name="MeanExposure">[2]Netting!$D$8</definedName>
    <definedName name="MeanMtM" localSheetId="1">Spreadsheet9.1!#REF!</definedName>
    <definedName name="MeanMtM" localSheetId="0">'Spreadsheet9.1 (2)'!#REF!</definedName>
    <definedName name="MeanMtM">#REF!</definedName>
    <definedName name="MeanRev" localSheetId="1">Spreadsheet9.1!$C$11</definedName>
    <definedName name="MeanRev" localSheetId="0">'Spreadsheet9.1 (2)'!$C$11</definedName>
    <definedName name="MeanRev">#REF!</definedName>
    <definedName name="MeanRev_">#REF!</definedName>
    <definedName name="MinimumMPOR">#REF!</definedName>
    <definedName name="MinimumTransferAmount">[2]CollateralMarginCall!$C$10</definedName>
    <definedName name="MinimumTransferAmount2">[2]CollateralMarginCall!$D$10</definedName>
    <definedName name="ModifiedDuration" localSheetId="0">'[5]Bond Price with Excel'!#REF!</definedName>
    <definedName name="ModifiedDuration">'[5]Bond Price with Excel'!#REF!</definedName>
    <definedName name="MTA" localSheetId="1">Spreadsheet9.1!#REF!</definedName>
    <definedName name="MTA" localSheetId="0">'Spreadsheet9.1 (2)'!#REF!</definedName>
    <definedName name="MTA">#REF!</definedName>
    <definedName name="MTA_A" localSheetId="1">Spreadsheet9.1!#REF!</definedName>
    <definedName name="MTA_A" localSheetId="0">'Spreadsheet9.1 (2)'!#REF!</definedName>
    <definedName name="MTA_A">#REF!</definedName>
    <definedName name="MTA_B" localSheetId="1">Spreadsheet9.1!#REF!</definedName>
    <definedName name="MTA_B" localSheetId="0">'Spreadsheet9.1 (2)'!#REF!</definedName>
    <definedName name="MTA_B">#REF!</definedName>
    <definedName name="MtM" localSheetId="1">Spreadsheet9.1!#REF!</definedName>
    <definedName name="MtM" localSheetId="0">'Spreadsheet9.1 (2)'!#REF!</definedName>
    <definedName name="MtM">#REF!</definedName>
    <definedName name="MtM_A" localSheetId="1">Spreadsheet9.1!#REF!</definedName>
    <definedName name="MtM_A" localSheetId="0">'Spreadsheet9.1 (2)'!#REF!</definedName>
    <definedName name="MtM_A">#REF!</definedName>
    <definedName name="MtM_B" localSheetId="1">Spreadsheet9.1!#REF!</definedName>
    <definedName name="MtM_B" localSheetId="0">'Spreadsheet9.1 (2)'!#REF!</definedName>
    <definedName name="MtM_B">#REF!</definedName>
    <definedName name="Mu" localSheetId="1">Spreadsheet9.1!#REF!</definedName>
    <definedName name="Mu" localSheetId="0">'Spreadsheet9.1 (2)'!#REF!</definedName>
    <definedName name="Mu">#REF!</definedName>
    <definedName name="mu1a">[4]TwoAssetsEfficientFrontier!$C$7</definedName>
    <definedName name="mu2a">[4]TwoAssetsEfficientFrontier!$C$8</definedName>
    <definedName name="Mult1" localSheetId="0">#REF!</definedName>
    <definedName name="Mult1">#REF!</definedName>
    <definedName name="Mult2" localSheetId="0">#REF!</definedName>
    <definedName name="Mult2">#REF!</definedName>
    <definedName name="Mult3" localSheetId="0">#REF!</definedName>
    <definedName name="Mult3">#REF!</definedName>
    <definedName name="Mult4" localSheetId="0">#REF!</definedName>
    <definedName name="Mult4">#REF!</definedName>
    <definedName name="Multiplier">[4]CoherentRiskMeasuresExample!$I$8</definedName>
    <definedName name="NEEnc" localSheetId="0">#REF!</definedName>
    <definedName name="NEEnc">#REF!</definedName>
    <definedName name="NEEnocollateral" localSheetId="0">#REF!</definedName>
    <definedName name="NEEnocollateral">#REF!</definedName>
    <definedName name="NEEwc">#REF!</definedName>
    <definedName name="NewEstimate">[2]CDSStripper!$L$10</definedName>
    <definedName name="NextCouponDate">'[5]Bond Price with Excel'!$B$19</definedName>
    <definedName name="Notionals" localSheetId="0">#REF!</definedName>
    <definedName name="Notionals">#REF!</definedName>
    <definedName name="NumCalls">[1]CollateralExposureSimulation!$C$9</definedName>
    <definedName name="NumNames">[2]Portfolio!$J$10</definedName>
    <definedName name="NumSims" localSheetId="1">[11]Spreadsheet9.6!#REF!</definedName>
    <definedName name="NumSims" localSheetId="0">[11]Spreadsheet9.6!#REF!</definedName>
    <definedName name="NumSims">#REF!</definedName>
    <definedName name="NumSteps">[3]TreePricer!$C$10</definedName>
    <definedName name="OptionData">[3]OptionPriceTree!$A$1</definedName>
    <definedName name="OptionPayoff">[3]TreePricer!$C$9</definedName>
    <definedName name="OptionPrice">[3]TreePricer!$C$22</definedName>
    <definedName name="Output">[1]HedgingCVA!$B$31</definedName>
    <definedName name="OutputPaths">#REF!</definedName>
    <definedName name="Param" localSheetId="1">[6]MonteCarlo!#REF!</definedName>
    <definedName name="Param" localSheetId="0">[6]MonteCarlo!#REF!</definedName>
    <definedName name="Param">[6]MonteCarlo!#REF!</definedName>
    <definedName name="Param1" localSheetId="0">[6]MonteCarlo!#REF!</definedName>
    <definedName name="Param1">[6]MonteCarlo!#REF!</definedName>
    <definedName name="PathNum" localSheetId="1">[11]Spreadsheet9.6!$H$16</definedName>
    <definedName name="PathNum" localSheetId="0">[11]Spreadsheet9.6!$H$16</definedName>
    <definedName name="PathNum">#REF!</definedName>
    <definedName name="PathRef" localSheetId="1">[11]Spreadsheet9.2!$D$24</definedName>
    <definedName name="PathRef" localSheetId="0">[11]Spreadsheet9.2!$D$24</definedName>
    <definedName name="PathRef">#REF!</definedName>
    <definedName name="Percentile">[4]CoherentRiskMeasuresExample!$I$9</definedName>
    <definedName name="PercPriceImpact">[1]LiquidationTimescale!$D$19</definedName>
    <definedName name="PFE" localSheetId="1">Spreadsheet9.1!#REF!</definedName>
    <definedName name="PFE" localSheetId="0">'Spreadsheet9.1 (2)'!#REF!</definedName>
    <definedName name="PFE">#REF!</definedName>
    <definedName name="PFEnc" localSheetId="0">#REF!</definedName>
    <definedName name="PFEnc">#REF!</definedName>
    <definedName name="PFEnocollateral" localSheetId="0">#REF!</definedName>
    <definedName name="PFEnocollateral">#REF!</definedName>
    <definedName name="PFEwc">#REF!</definedName>
    <definedName name="Points">[7]SimpleIntegration!$C$4</definedName>
    <definedName name="PortfolioMTM">[2]CollateralMarginCall!$C$6</definedName>
    <definedName name="PostImmediately">#REF!</definedName>
    <definedName name="PostInterval">[2]CollateralMarginCall!$G$7</definedName>
    <definedName name="Price">[5]YieldExample!$C$2</definedName>
    <definedName name="Prob">[4]BinomialVsNormal!$C$6</definedName>
    <definedName name="Progress">#REF!</definedName>
    <definedName name="PV">[1]HedgingCVA!$B$3</definedName>
    <definedName name="Quantile" localSheetId="0">#REF!</definedName>
    <definedName name="Quantile">#REF!</definedName>
    <definedName name="RanNums">[16]RandomNumbers!$B$4</definedName>
    <definedName name="RanNums2">[16]RandomNumbers!$H$4</definedName>
    <definedName name="rate">'[15]Class Problems'!$H$39</definedName>
    <definedName name="Rates">[1]HedgingCVA!$B$7</definedName>
    <definedName name="Recovery">[2]CDSCntrptyRisk!$C$10</definedName>
    <definedName name="RecoveryPercent">[9]Merton!$C$24</definedName>
    <definedName name="RecRate">[10]IndexBasis!$I$7</definedName>
    <definedName name="Redemption">'[5]Bond Price with Excel'!$B$58</definedName>
    <definedName name="RefDefProb">[2]CDSCntrptyRisk!$C$13</definedName>
    <definedName name="Remargin">#REF!</definedName>
    <definedName name="Result1">[2]CVA!$J$6</definedName>
    <definedName name="Result2">[2]CVA!$K$6</definedName>
    <definedName name="Results" localSheetId="0">#REF!</definedName>
    <definedName name="Results">#REF!</definedName>
    <definedName name="RExerFrontierBounds" localSheetId="1">OFFSET([0]!ExerRatesBoundsTopCell,0,0,[0]!NumExercises,1)</definedName>
    <definedName name="RExerFrontierBounds" localSheetId="0">OFFSET([0]!ExerRatesBoundsTopCell,0,0,[0]!NumExercises,1)</definedName>
    <definedName name="RExerFrontierBounds">OFFSET([0]!ExerRatesBoundsTopCell,0,0,[0]!NumExercises,1)</definedName>
    <definedName name="RFwdVols" localSheetId="1">OFFSET([0]!FwdVolRangeTopCell,0,0,[0]!NumExercises,[0]!NumExercises)</definedName>
    <definedName name="RFwdVols" localSheetId="0">OFFSET([0]!FwdVolRangeTopCell,0,0,[0]!NumExercises,[0]!NumExercises)</definedName>
    <definedName name="RFwdVols">OFFSET([0]!FwdVolRangeTopCell,0,0,[0]!NumExercises,[0]!NumExercises)</definedName>
    <definedName name="RLevel">[10]BlackModel!$D$10</definedName>
    <definedName name="Rounding" localSheetId="1">Spreadsheet9.1!#REF!</definedName>
    <definedName name="Rounding" localSheetId="0">'Spreadsheet9.1 (2)'!#REF!</definedName>
    <definedName name="Rounding">#REF!</definedName>
    <definedName name="Rounding_A" localSheetId="1">Spreadsheet9.1!#REF!</definedName>
    <definedName name="Rounding_A" localSheetId="0">'Spreadsheet9.1 (2)'!#REF!</definedName>
    <definedName name="Rounding_A">#REF!</definedName>
    <definedName name="Rounding_B" localSheetId="1">Spreadsheet9.1!#REF!</definedName>
    <definedName name="Rounding_B" localSheetId="0">'Spreadsheet9.1 (2)'!#REF!</definedName>
    <definedName name="Rounding_B">#REF!</definedName>
    <definedName name="Rounding2">[1]CollateralCalculation!$D$17</definedName>
    <definedName name="sA">[5]MeanVariance!$O$17</definedName>
    <definedName name="sB">[5]MeanVariance!$O$18</definedName>
    <definedName name="sC">[5]MeanVariance!$O$19</definedName>
    <definedName name="sD">[5]MeanVariance!$O$20</definedName>
    <definedName name="Seed">[2]MonteCarlo!$C$9</definedName>
    <definedName name="Seed2">[2]CollateralMarginCall!$G$8</definedName>
    <definedName name="SettleDate">'[5]Bond Price with Excel'!$B$14</definedName>
    <definedName name="ShowPath">[1]CollateralExposureSimulation!$E$21</definedName>
    <definedName name="ShowPaths">[3]TreePricer!$C$11</definedName>
    <definedName name="Sigma" localSheetId="1">Spreadsheet9.1!#REF!</definedName>
    <definedName name="Sigma" localSheetId="0">'Spreadsheet9.1 (2)'!#REF!</definedName>
    <definedName name="Sigma">#REF!</definedName>
    <definedName name="Sigma3" localSheetId="0">#REF!</definedName>
    <definedName name="Sigma3">#REF!</definedName>
    <definedName name="SigmaVector">[5]MeanVariance!$E$3:$E$6</definedName>
    <definedName name="SigmaVolume">[1]Liquidation!$D$14</definedName>
    <definedName name="Sims">[8]MonteCarlo!$F$4</definedName>
    <definedName name="SimulationResults">[3]HedgingSimulation!$R$4</definedName>
    <definedName name="Simulations" localSheetId="1">Spreadsheet9.1!$E$53</definedName>
    <definedName name="Simulations" localSheetId="0">'Spreadsheet9.1 (2)'!$E$53</definedName>
    <definedName name="Simulations">#REF!</definedName>
    <definedName name="Spot">[4]HedgingSimulation!$C$7</definedName>
    <definedName name="Spread">[1]HedgingCVA!$B$19</definedName>
    <definedName name="SpreadAgent" localSheetId="0">[6]CVA!#REF!</definedName>
    <definedName name="SpreadAgent">[6]CVA!#REF!</definedName>
    <definedName name="SpreadCntrpty" localSheetId="0">[2]CVA!#REF!</definedName>
    <definedName name="SpreadCntrpty">[2]CVA!#REF!</definedName>
    <definedName name="SpreadRef">[2]CDSCntrptyRisk!$C$7</definedName>
    <definedName name="SpreadSys" localSheetId="0">[6]CVA!#REF!</definedName>
    <definedName name="SpreadSys">[6]CVA!#REF!</definedName>
    <definedName name="SpreadUS">[1]HedgingCVA!$C$19</definedName>
    <definedName name="SQrtTerm" localSheetId="0">#REF!</definedName>
    <definedName name="SQrtTerm">#REF!</definedName>
    <definedName name="Sstar">[9]CreditGrades!$C$6</definedName>
    <definedName name="StdDevExposure">[2]Netting!$D$9</definedName>
    <definedName name="StdDevMtM" localSheetId="1">Spreadsheet9.1!#REF!</definedName>
    <definedName name="StdDevMtM" localSheetId="0">'Spreadsheet9.1 (2)'!#REF!</definedName>
    <definedName name="StdDevMtM">#REF!</definedName>
    <definedName name="StdExposures">[2]Portfolio!$F$8</definedName>
    <definedName name="Steps">[8]MonteCarlo!$F$3</definedName>
    <definedName name="Stock">[4]OptionPricer!$C$7</definedName>
    <definedName name="StockData">[3]UnderlyingValueTree!$A$1</definedName>
    <definedName name="StockPrice">[1]Liquidation!$D$12</definedName>
    <definedName name="StockVol">[3]CreditGrades!$C$9</definedName>
    <definedName name="Strike">[4]OptionPricer!$C$8</definedName>
    <definedName name="StrikeMC">[8]MonteCarlo!$C$4</definedName>
    <definedName name="SttDev" localSheetId="0">#REF!</definedName>
    <definedName name="SttDev">#REF!</definedName>
    <definedName name="SurvProb" localSheetId="0">[17]BlackModel!#REF!</definedName>
    <definedName name="SurvProb">[17]BlackModel!#REF!</definedName>
    <definedName name="SVol">[9]CreditGrades!$C$9</definedName>
    <definedName name="SwapMTM" localSheetId="1">Spreadsheet9.1!$J$9</definedName>
    <definedName name="SwapMTM" localSheetId="0">'Spreadsheet9.1 (2)'!$J$9</definedName>
    <definedName name="SwapMTM">#REF!</definedName>
    <definedName name="SwapRate" localSheetId="1">Spreadsheet9.1!$C$14</definedName>
    <definedName name="SwapRate" localSheetId="0">'Spreadsheet9.1 (2)'!$C$14</definedName>
    <definedName name="SwapRate">#REF!</definedName>
    <definedName name="SwapRate_">#REF!</definedName>
    <definedName name="TargetReturn">[5]MeanVariance!$J$18</definedName>
    <definedName name="Threshold" localSheetId="1">Spreadsheet9.1!#REF!</definedName>
    <definedName name="Threshold" localSheetId="0">'Spreadsheet9.1 (2)'!#REF!</definedName>
    <definedName name="Threshold">#REF!</definedName>
    <definedName name="Threshold_A" localSheetId="1">Spreadsheet9.1!#REF!</definedName>
    <definedName name="Threshold_A" localSheetId="0">'Spreadsheet9.1 (2)'!#REF!</definedName>
    <definedName name="Threshold_A">#REF!</definedName>
    <definedName name="Threshold_B" localSheetId="1">Spreadsheet9.1!#REF!</definedName>
    <definedName name="Threshold_B" localSheetId="0">'Spreadsheet9.1 (2)'!#REF!</definedName>
    <definedName name="Threshold_B">#REF!</definedName>
    <definedName name="Threshold2">[2]CollateralMarginCall!$D$8</definedName>
    <definedName name="Thresholds">[2]Portfolio!$D$8</definedName>
    <definedName name="Time">[1]SimpleWrongWay!$C$15</definedName>
    <definedName name="timestep">[4]HedgingSimulation!$G$9</definedName>
    <definedName name="TotalExposure">[2]CollateralMarginCall!$C$12</definedName>
    <definedName name="TotalMargEPE">[2]EPEAllocation!$C$23</definedName>
    <definedName name="TotalPnL">[3]HedgingSimulation!$L$10</definedName>
    <definedName name="TotalRequiredCollateralisation2">[1]CollateralCalculation!$D$19</definedName>
    <definedName name="TotalRequiredCollaterlisation">[1]CollateralCalculation!$C$19</definedName>
    <definedName name="UnitVector">[5]MeanVariance!$L$3:$L$6</definedName>
    <definedName name="Upper">[7]SimpleIntegration!$C$3</definedName>
    <definedName name="Val1A" localSheetId="0">[6]CVA!#REF!</definedName>
    <definedName name="Val1A">[6]CVA!#REF!</definedName>
    <definedName name="Val2A">[2]CVA!$I$4</definedName>
    <definedName name="Val3A">[2]CVA!$I$5</definedName>
    <definedName name="vnot">'[15]Class Problems'!$G$39</definedName>
    <definedName name="Vol" localSheetId="0">[4]OptionPricer!#REF!</definedName>
    <definedName name="Vol">[4]OptionPricer!#REF!</definedName>
    <definedName name="Volatilities" localSheetId="0">#REF!</definedName>
    <definedName name="Volatilities">#REF!</definedName>
    <definedName name="Volatility" localSheetId="1">Spreadsheet9.1!$C$13</definedName>
    <definedName name="Volatility" localSheetId="0">'Spreadsheet9.1 (2)'!$C$13</definedName>
    <definedName name="Volatility">#REF!</definedName>
    <definedName name="Volatility_">#REF!</definedName>
    <definedName name="VolatilityOfPosition">[1]LiquidationTimescale!$D$24</definedName>
    <definedName name="VolCollateral">[1]CollateralandCorrelation!$C$13</definedName>
    <definedName name="VolExposure">[1]CollateralandCorrelation!$C$12</definedName>
    <definedName name="VolMC">[8]MonteCarlo!$C$7</definedName>
    <definedName name="VolSqrtDt">[8]MonteCarlo!$F$7</definedName>
    <definedName name="Volume" localSheetId="0">[1]Liquidation!#REF!</definedName>
    <definedName name="Volume">[1]Liquidation!#REF!</definedName>
    <definedName name="VolumeToLiquidate">[1]Liquidation!$D$13</definedName>
    <definedName name="WeightVector">[5]MeanVariance!$C$3:$C$6</definedName>
    <definedName name="WeightVector1">[5]MeanVariance!$G$18:$G$21</definedName>
    <definedName name="WeightVector2">[5]MeanVariance!$K$18:$K$21</definedName>
    <definedName name="X2OverS">[4]OptionPricer!$C$21</definedName>
    <definedName name="YearToMaturity">'[5]Bond Price with Excel'!$B$18</definedName>
    <definedName name="Yield">'[5]Bond Price with Excel'!$B$13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K10" i="27" l="1" a="1"/>
  <c r="K10" i="27"/>
  <c r="K11" i="27"/>
  <c r="K12" i="27"/>
  <c r="K13" i="27"/>
  <c r="K14" i="27"/>
  <c r="K15" i="27"/>
  <c r="K16" i="27"/>
  <c r="K17" i="27"/>
  <c r="AY51" i="27"/>
  <c r="AX51" i="27"/>
  <c r="AW51" i="27"/>
  <c r="AV51" i="27"/>
  <c r="AU51" i="27"/>
  <c r="AT51" i="27"/>
  <c r="AS51" i="27"/>
  <c r="AR51" i="27"/>
  <c r="AQ51" i="27"/>
  <c r="AP51" i="27"/>
  <c r="AO51" i="27"/>
  <c r="AN51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X51" i="27"/>
  <c r="W51" i="27"/>
  <c r="V51" i="27"/>
  <c r="U51" i="27"/>
  <c r="T51" i="27"/>
  <c r="S51" i="27"/>
  <c r="R51" i="27"/>
  <c r="Q51" i="27"/>
  <c r="P51" i="27"/>
  <c r="O51" i="27"/>
  <c r="N51" i="27"/>
  <c r="M51" i="27"/>
  <c r="L51" i="27"/>
  <c r="AY50" i="27"/>
  <c r="AX50" i="27"/>
  <c r="AW50" i="27"/>
  <c r="AV50" i="27"/>
  <c r="AU50" i="27"/>
  <c r="AT50" i="27"/>
  <c r="AS50" i="27"/>
  <c r="AR50" i="27"/>
  <c r="AQ50" i="27"/>
  <c r="AP50" i="27"/>
  <c r="AO50" i="27"/>
  <c r="AN50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X50" i="27"/>
  <c r="W50" i="27"/>
  <c r="V50" i="27"/>
  <c r="U50" i="27"/>
  <c r="T50" i="27"/>
  <c r="S50" i="27"/>
  <c r="R50" i="27"/>
  <c r="Q50" i="27"/>
  <c r="P50" i="27"/>
  <c r="O50" i="27"/>
  <c r="N50" i="27"/>
  <c r="M50" i="27"/>
  <c r="L50" i="27"/>
  <c r="J50" i="27"/>
  <c r="G50" i="27"/>
  <c r="F50" i="27"/>
  <c r="E50" i="27"/>
  <c r="L49" i="27"/>
  <c r="J49" i="27"/>
  <c r="I49" i="27"/>
  <c r="H49" i="27"/>
  <c r="G49" i="27"/>
  <c r="F49" i="27"/>
  <c r="E49" i="27"/>
  <c r="M48" i="27"/>
  <c r="L48" i="27"/>
  <c r="J48" i="27"/>
  <c r="I48" i="27"/>
  <c r="H48" i="27"/>
  <c r="G48" i="27"/>
  <c r="F48" i="27"/>
  <c r="E48" i="27"/>
  <c r="N47" i="27"/>
  <c r="M47" i="27"/>
  <c r="L47" i="27"/>
  <c r="J47" i="27"/>
  <c r="I47" i="27"/>
  <c r="H47" i="27"/>
  <c r="G47" i="27"/>
  <c r="F47" i="27"/>
  <c r="E47" i="27"/>
  <c r="O46" i="27"/>
  <c r="N46" i="27"/>
  <c r="M46" i="27"/>
  <c r="L46" i="27"/>
  <c r="J46" i="27"/>
  <c r="I46" i="27"/>
  <c r="H46" i="27"/>
  <c r="G46" i="27"/>
  <c r="F46" i="27"/>
  <c r="E46" i="27"/>
  <c r="P45" i="27"/>
  <c r="O45" i="27"/>
  <c r="N45" i="27"/>
  <c r="M45" i="27"/>
  <c r="L45" i="27"/>
  <c r="J45" i="27"/>
  <c r="I45" i="27"/>
  <c r="H45" i="27"/>
  <c r="G45" i="27"/>
  <c r="F45" i="27"/>
  <c r="E45" i="27"/>
  <c r="Q44" i="27"/>
  <c r="P44" i="27"/>
  <c r="O44" i="27"/>
  <c r="N44" i="27"/>
  <c r="M44" i="27"/>
  <c r="L44" i="27"/>
  <c r="J44" i="27"/>
  <c r="I44" i="27"/>
  <c r="H44" i="27"/>
  <c r="G44" i="27"/>
  <c r="F44" i="27"/>
  <c r="E44" i="27"/>
  <c r="R43" i="27"/>
  <c r="Q43" i="27"/>
  <c r="P43" i="27"/>
  <c r="O43" i="27"/>
  <c r="N43" i="27"/>
  <c r="M43" i="27"/>
  <c r="L43" i="27"/>
  <c r="J43" i="27"/>
  <c r="I43" i="27"/>
  <c r="H43" i="27"/>
  <c r="G43" i="27"/>
  <c r="F43" i="27"/>
  <c r="E43" i="27"/>
  <c r="S42" i="27"/>
  <c r="R42" i="27"/>
  <c r="Q42" i="27"/>
  <c r="P42" i="27"/>
  <c r="O42" i="27"/>
  <c r="N42" i="27"/>
  <c r="M42" i="27"/>
  <c r="L42" i="27"/>
  <c r="J42" i="27"/>
  <c r="I42" i="27"/>
  <c r="H42" i="27"/>
  <c r="G42" i="27"/>
  <c r="F42" i="27"/>
  <c r="E42" i="27"/>
  <c r="T41" i="27"/>
  <c r="S41" i="27"/>
  <c r="R41" i="27"/>
  <c r="Q41" i="27"/>
  <c r="P41" i="27"/>
  <c r="O41" i="27"/>
  <c r="N41" i="27"/>
  <c r="M41" i="27"/>
  <c r="L41" i="27"/>
  <c r="J41" i="27"/>
  <c r="I41" i="27"/>
  <c r="H41" i="27"/>
  <c r="G41" i="27"/>
  <c r="F41" i="27"/>
  <c r="E41" i="27"/>
  <c r="U40" i="27"/>
  <c r="T40" i="27"/>
  <c r="S40" i="27"/>
  <c r="R40" i="27"/>
  <c r="Q40" i="27"/>
  <c r="P40" i="27"/>
  <c r="O40" i="27"/>
  <c r="N40" i="27"/>
  <c r="M40" i="27"/>
  <c r="L40" i="27"/>
  <c r="J40" i="27"/>
  <c r="I40" i="27"/>
  <c r="H40" i="27"/>
  <c r="G40" i="27"/>
  <c r="F40" i="27"/>
  <c r="E40" i="27"/>
  <c r="V39" i="27"/>
  <c r="U39" i="27"/>
  <c r="T39" i="27"/>
  <c r="S39" i="27"/>
  <c r="R39" i="27"/>
  <c r="Q39" i="27"/>
  <c r="P39" i="27"/>
  <c r="O39" i="27"/>
  <c r="N39" i="27"/>
  <c r="M39" i="27"/>
  <c r="L39" i="27"/>
  <c r="J39" i="27"/>
  <c r="I39" i="27"/>
  <c r="H39" i="27"/>
  <c r="G39" i="27"/>
  <c r="F39" i="27"/>
  <c r="E39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J38" i="27"/>
  <c r="I38" i="27"/>
  <c r="H38" i="27"/>
  <c r="G38" i="27"/>
  <c r="F38" i="27"/>
  <c r="E38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J37" i="27"/>
  <c r="I37" i="27"/>
  <c r="H37" i="27"/>
  <c r="G37" i="27"/>
  <c r="F37" i="27"/>
  <c r="E37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J36" i="27"/>
  <c r="I36" i="27"/>
  <c r="H36" i="27"/>
  <c r="G36" i="27"/>
  <c r="F36" i="27"/>
  <c r="E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J35" i="27"/>
  <c r="I35" i="27"/>
  <c r="H35" i="27"/>
  <c r="G35" i="27"/>
  <c r="F35" i="27"/>
  <c r="E35" i="27"/>
  <c r="AA34" i="27"/>
  <c r="Z34" i="27"/>
  <c r="Y34" i="27"/>
  <c r="X34" i="27"/>
  <c r="W34" i="27"/>
  <c r="V34" i="27"/>
  <c r="U34" i="27"/>
  <c r="T34" i="27"/>
  <c r="S34" i="27"/>
  <c r="R34" i="27"/>
  <c r="Q34" i="27"/>
  <c r="P34" i="27"/>
  <c r="O34" i="27"/>
  <c r="N34" i="27"/>
  <c r="M34" i="27"/>
  <c r="L34" i="27"/>
  <c r="J34" i="27"/>
  <c r="I34" i="27"/>
  <c r="H34" i="27"/>
  <c r="G34" i="27"/>
  <c r="F34" i="27"/>
  <c r="E34" i="27"/>
  <c r="AB33" i="27"/>
  <c r="AA33" i="27"/>
  <c r="Z33" i="27"/>
  <c r="Y33" i="27"/>
  <c r="X33" i="27"/>
  <c r="W33" i="27"/>
  <c r="V33" i="27"/>
  <c r="U33" i="27"/>
  <c r="T33" i="27"/>
  <c r="S33" i="27"/>
  <c r="R33" i="27"/>
  <c r="Q33" i="27"/>
  <c r="P33" i="27"/>
  <c r="O33" i="27"/>
  <c r="N33" i="27"/>
  <c r="M33" i="27"/>
  <c r="L33" i="27"/>
  <c r="J33" i="27"/>
  <c r="I33" i="27"/>
  <c r="H33" i="27"/>
  <c r="G33" i="27"/>
  <c r="F33" i="27"/>
  <c r="E33" i="27"/>
  <c r="AC32" i="27"/>
  <c r="AB32" i="27"/>
  <c r="AA32" i="27"/>
  <c r="Z32" i="27"/>
  <c r="Y32" i="27"/>
  <c r="X32" i="27"/>
  <c r="W32" i="27"/>
  <c r="V32" i="27"/>
  <c r="U32" i="27"/>
  <c r="T32" i="27"/>
  <c r="S32" i="27"/>
  <c r="R32" i="27"/>
  <c r="Q32" i="27"/>
  <c r="P32" i="27"/>
  <c r="O32" i="27"/>
  <c r="N32" i="27"/>
  <c r="M32" i="27"/>
  <c r="L32" i="27"/>
  <c r="J32" i="27"/>
  <c r="I32" i="27"/>
  <c r="H32" i="27"/>
  <c r="G32" i="27"/>
  <c r="F32" i="27"/>
  <c r="E32" i="27"/>
  <c r="AD31" i="27"/>
  <c r="AC31" i="27"/>
  <c r="AB31" i="27"/>
  <c r="AA31" i="27"/>
  <c r="Z31" i="27"/>
  <c r="Y31" i="27"/>
  <c r="X31" i="27"/>
  <c r="W31" i="27"/>
  <c r="V31" i="27"/>
  <c r="U31" i="27"/>
  <c r="T31" i="27"/>
  <c r="S31" i="27"/>
  <c r="R31" i="27"/>
  <c r="Q31" i="27"/>
  <c r="P31" i="27"/>
  <c r="O31" i="27"/>
  <c r="N31" i="27"/>
  <c r="M31" i="27"/>
  <c r="L31" i="27"/>
  <c r="J31" i="27"/>
  <c r="I31" i="27"/>
  <c r="H31" i="27"/>
  <c r="G31" i="27"/>
  <c r="F31" i="27"/>
  <c r="E31" i="27"/>
  <c r="AE30" i="27"/>
  <c r="AD30" i="27"/>
  <c r="AC30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J30" i="27"/>
  <c r="I30" i="27"/>
  <c r="H30" i="27"/>
  <c r="G30" i="27"/>
  <c r="F30" i="27"/>
  <c r="E30" i="27"/>
  <c r="AF29" i="27"/>
  <c r="AE29" i="27"/>
  <c r="AD29" i="27"/>
  <c r="AC29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J29" i="27"/>
  <c r="I29" i="27"/>
  <c r="H29" i="27"/>
  <c r="G29" i="27"/>
  <c r="F29" i="27"/>
  <c r="E29" i="27"/>
  <c r="AG28" i="27"/>
  <c r="AF28" i="27"/>
  <c r="AE28" i="27"/>
  <c r="AD28" i="27"/>
  <c r="AC28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J28" i="27"/>
  <c r="I28" i="27"/>
  <c r="H28" i="27"/>
  <c r="G28" i="27"/>
  <c r="F28" i="27"/>
  <c r="E28" i="27"/>
  <c r="AH27" i="27"/>
  <c r="AG27" i="27"/>
  <c r="AF27" i="27"/>
  <c r="AE27" i="27"/>
  <c r="AD27" i="27"/>
  <c r="AC27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J27" i="27"/>
  <c r="I27" i="27"/>
  <c r="H27" i="27"/>
  <c r="G27" i="27"/>
  <c r="F27" i="27"/>
  <c r="E27" i="27"/>
  <c r="AI26" i="27"/>
  <c r="AH26" i="27"/>
  <c r="AG26" i="27"/>
  <c r="AF26" i="27"/>
  <c r="AE26" i="27"/>
  <c r="AD26" i="27"/>
  <c r="AC26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J26" i="27"/>
  <c r="I26" i="27"/>
  <c r="H26" i="27"/>
  <c r="G26" i="27"/>
  <c r="F26" i="27"/>
  <c r="E26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J25" i="27"/>
  <c r="I25" i="27"/>
  <c r="H25" i="27"/>
  <c r="G25" i="27"/>
  <c r="F25" i="27"/>
  <c r="E25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X24" i="27"/>
  <c r="W24" i="27"/>
  <c r="V24" i="27"/>
  <c r="U24" i="27"/>
  <c r="T24" i="27"/>
  <c r="S24" i="27"/>
  <c r="R24" i="27"/>
  <c r="Q24" i="27"/>
  <c r="P24" i="27"/>
  <c r="O24" i="27"/>
  <c r="N24" i="27"/>
  <c r="M24" i="27"/>
  <c r="L24" i="27"/>
  <c r="J24" i="27"/>
  <c r="I24" i="27"/>
  <c r="H24" i="27"/>
  <c r="G24" i="27"/>
  <c r="F24" i="27"/>
  <c r="E24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X23" i="27"/>
  <c r="W23" i="27"/>
  <c r="V23" i="27"/>
  <c r="U23" i="27"/>
  <c r="T23" i="27"/>
  <c r="S23" i="27"/>
  <c r="R23" i="27"/>
  <c r="Q23" i="27"/>
  <c r="P23" i="27"/>
  <c r="O23" i="27"/>
  <c r="N23" i="27"/>
  <c r="M23" i="27"/>
  <c r="L23" i="27"/>
  <c r="J23" i="27"/>
  <c r="I23" i="27"/>
  <c r="H23" i="27"/>
  <c r="G23" i="27"/>
  <c r="F23" i="27"/>
  <c r="E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X22" i="27"/>
  <c r="W22" i="27"/>
  <c r="V22" i="27"/>
  <c r="U22" i="27"/>
  <c r="T22" i="27"/>
  <c r="S22" i="27"/>
  <c r="R22" i="27"/>
  <c r="Q22" i="27"/>
  <c r="P22" i="27"/>
  <c r="O22" i="27"/>
  <c r="N22" i="27"/>
  <c r="M22" i="27"/>
  <c r="L22" i="27"/>
  <c r="J22" i="27"/>
  <c r="I22" i="27"/>
  <c r="H22" i="27"/>
  <c r="G22" i="27"/>
  <c r="F22" i="27"/>
  <c r="E22" i="27"/>
  <c r="AN21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X21" i="27"/>
  <c r="W21" i="27"/>
  <c r="V21" i="27"/>
  <c r="U21" i="27"/>
  <c r="T21" i="27"/>
  <c r="S21" i="27"/>
  <c r="R21" i="27"/>
  <c r="Q21" i="27"/>
  <c r="P21" i="27"/>
  <c r="O21" i="27"/>
  <c r="N21" i="27"/>
  <c r="M21" i="27"/>
  <c r="L21" i="27"/>
  <c r="J21" i="27"/>
  <c r="I21" i="27"/>
  <c r="H21" i="27"/>
  <c r="G21" i="27"/>
  <c r="F21" i="27"/>
  <c r="E21" i="27"/>
  <c r="AO20" i="27"/>
  <c r="AN20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X20" i="27"/>
  <c r="W20" i="27"/>
  <c r="V20" i="27"/>
  <c r="U20" i="27"/>
  <c r="T20" i="27"/>
  <c r="S20" i="27"/>
  <c r="R20" i="27"/>
  <c r="Q20" i="27"/>
  <c r="P20" i="27"/>
  <c r="O20" i="27"/>
  <c r="N20" i="27"/>
  <c r="M20" i="27"/>
  <c r="L20" i="27"/>
  <c r="J20" i="27"/>
  <c r="I20" i="27"/>
  <c r="H20" i="27"/>
  <c r="G20" i="27"/>
  <c r="F20" i="27"/>
  <c r="E20" i="27"/>
  <c r="AP19" i="27"/>
  <c r="AO19" i="27"/>
  <c r="AN19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X19" i="27"/>
  <c r="W19" i="27"/>
  <c r="V19" i="27"/>
  <c r="U19" i="27"/>
  <c r="T19" i="27"/>
  <c r="S19" i="27"/>
  <c r="R19" i="27"/>
  <c r="Q19" i="27"/>
  <c r="P19" i="27"/>
  <c r="O19" i="27"/>
  <c r="N19" i="27"/>
  <c r="M19" i="27"/>
  <c r="L19" i="27"/>
  <c r="J19" i="27"/>
  <c r="I19" i="27"/>
  <c r="H19" i="27"/>
  <c r="G19" i="27"/>
  <c r="F19" i="27"/>
  <c r="E19" i="27"/>
  <c r="AQ18" i="27"/>
  <c r="AP18" i="27"/>
  <c r="AO18" i="27"/>
  <c r="AN18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X18" i="27"/>
  <c r="W18" i="27"/>
  <c r="V18" i="27"/>
  <c r="U18" i="27"/>
  <c r="T18" i="27"/>
  <c r="S18" i="27"/>
  <c r="R18" i="27"/>
  <c r="Q18" i="27"/>
  <c r="P18" i="27"/>
  <c r="O18" i="27"/>
  <c r="N18" i="27"/>
  <c r="M18" i="27"/>
  <c r="L18" i="27"/>
  <c r="J18" i="27"/>
  <c r="I18" i="27"/>
  <c r="H18" i="27"/>
  <c r="G18" i="27"/>
  <c r="F18" i="27"/>
  <c r="E18" i="27"/>
  <c r="AR17" i="27"/>
  <c r="AQ17" i="27"/>
  <c r="AP17" i="27"/>
  <c r="AO17" i="27"/>
  <c r="AN17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X17" i="27"/>
  <c r="W17" i="27"/>
  <c r="V17" i="27"/>
  <c r="U17" i="27"/>
  <c r="T17" i="27"/>
  <c r="S17" i="27"/>
  <c r="R17" i="27"/>
  <c r="Q17" i="27"/>
  <c r="P17" i="27"/>
  <c r="O17" i="27"/>
  <c r="N17" i="27"/>
  <c r="M17" i="27"/>
  <c r="L17" i="27"/>
  <c r="J17" i="27"/>
  <c r="I17" i="27"/>
  <c r="H17" i="27"/>
  <c r="G17" i="27"/>
  <c r="F17" i="27"/>
  <c r="E17" i="27"/>
  <c r="AS16" i="27"/>
  <c r="AR16" i="27"/>
  <c r="AQ16" i="27"/>
  <c r="AP16" i="27"/>
  <c r="AO16" i="27"/>
  <c r="AN16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X16" i="27"/>
  <c r="W16" i="27"/>
  <c r="V16" i="27"/>
  <c r="U16" i="27"/>
  <c r="T16" i="27"/>
  <c r="S16" i="27"/>
  <c r="R16" i="27"/>
  <c r="Q16" i="27"/>
  <c r="P16" i="27"/>
  <c r="O16" i="27"/>
  <c r="N16" i="27"/>
  <c r="M16" i="27"/>
  <c r="L16" i="27"/>
  <c r="J16" i="27"/>
  <c r="I16" i="27"/>
  <c r="H16" i="27"/>
  <c r="G16" i="27"/>
  <c r="F16" i="27"/>
  <c r="E16" i="27"/>
  <c r="AT15" i="27"/>
  <c r="AS15" i="27"/>
  <c r="AR15" i="27"/>
  <c r="AQ15" i="27"/>
  <c r="AP15" i="27"/>
  <c r="AO15" i="27"/>
  <c r="AN15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X15" i="27"/>
  <c r="W15" i="27"/>
  <c r="V15" i="27"/>
  <c r="U15" i="27"/>
  <c r="T15" i="27"/>
  <c r="S15" i="27"/>
  <c r="R15" i="27"/>
  <c r="Q15" i="27"/>
  <c r="P15" i="27"/>
  <c r="O15" i="27"/>
  <c r="N15" i="27"/>
  <c r="M15" i="27"/>
  <c r="L15" i="27"/>
  <c r="J15" i="27"/>
  <c r="I15" i="27"/>
  <c r="H15" i="27"/>
  <c r="G15" i="27"/>
  <c r="F15" i="27"/>
  <c r="E15" i="27"/>
  <c r="AU14" i="27"/>
  <c r="AT14" i="27"/>
  <c r="AS14" i="27"/>
  <c r="AR14" i="27"/>
  <c r="AQ14" i="27"/>
  <c r="AP14" i="27"/>
  <c r="AO14" i="27"/>
  <c r="AN14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X14" i="27"/>
  <c r="W14" i="27"/>
  <c r="V14" i="27"/>
  <c r="U14" i="27"/>
  <c r="T14" i="27"/>
  <c r="S14" i="27"/>
  <c r="R14" i="27"/>
  <c r="Q14" i="27"/>
  <c r="P14" i="27"/>
  <c r="O14" i="27"/>
  <c r="N14" i="27"/>
  <c r="M14" i="27"/>
  <c r="L14" i="27"/>
  <c r="J14" i="27"/>
  <c r="I14" i="27"/>
  <c r="H14" i="27"/>
  <c r="G14" i="27"/>
  <c r="F14" i="27"/>
  <c r="E14" i="27"/>
  <c r="AV13" i="27"/>
  <c r="AU13" i="27"/>
  <c r="AT13" i="27"/>
  <c r="AS13" i="27"/>
  <c r="AR13" i="27"/>
  <c r="AQ13" i="27"/>
  <c r="AP13" i="27"/>
  <c r="AO13" i="27"/>
  <c r="AN13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X13" i="27"/>
  <c r="W13" i="27"/>
  <c r="V13" i="27"/>
  <c r="U13" i="27"/>
  <c r="T13" i="27"/>
  <c r="S13" i="27"/>
  <c r="R13" i="27"/>
  <c r="Q13" i="27"/>
  <c r="P13" i="27"/>
  <c r="O13" i="27"/>
  <c r="N13" i="27"/>
  <c r="M13" i="27"/>
  <c r="L13" i="27"/>
  <c r="J13" i="27"/>
  <c r="I13" i="27"/>
  <c r="H13" i="27"/>
  <c r="G13" i="27"/>
  <c r="F13" i="27"/>
  <c r="E13" i="27"/>
  <c r="AW12" i="27"/>
  <c r="AV12" i="27"/>
  <c r="AU12" i="27"/>
  <c r="AT12" i="27"/>
  <c r="AS12" i="27"/>
  <c r="AR12" i="27"/>
  <c r="AQ12" i="27"/>
  <c r="AP12" i="27"/>
  <c r="AO12" i="27"/>
  <c r="AN12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X12" i="27"/>
  <c r="W12" i="27"/>
  <c r="V12" i="27"/>
  <c r="U12" i="27"/>
  <c r="T12" i="27"/>
  <c r="S12" i="27"/>
  <c r="R12" i="27"/>
  <c r="Q12" i="27"/>
  <c r="P12" i="27"/>
  <c r="O12" i="27"/>
  <c r="N12" i="27"/>
  <c r="M12" i="27"/>
  <c r="L12" i="27"/>
  <c r="J12" i="27"/>
  <c r="I12" i="27"/>
  <c r="H12" i="27"/>
  <c r="G12" i="27"/>
  <c r="F12" i="27"/>
  <c r="E12" i="27"/>
  <c r="AX11" i="27"/>
  <c r="AW11" i="27"/>
  <c r="AV11" i="27"/>
  <c r="AU11" i="27"/>
  <c r="AT11" i="27"/>
  <c r="AS11" i="27"/>
  <c r="AR11" i="27"/>
  <c r="AQ11" i="27"/>
  <c r="AP11" i="27"/>
  <c r="AO11" i="27"/>
  <c r="AN11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X11" i="27"/>
  <c r="W11" i="27"/>
  <c r="V11" i="27"/>
  <c r="U11" i="27"/>
  <c r="T11" i="27"/>
  <c r="S11" i="27"/>
  <c r="R11" i="27"/>
  <c r="Q11" i="27"/>
  <c r="P11" i="27"/>
  <c r="O11" i="27"/>
  <c r="N11" i="27"/>
  <c r="M11" i="27"/>
  <c r="L11" i="27"/>
  <c r="J11" i="27"/>
  <c r="I11" i="27"/>
  <c r="H11" i="27"/>
  <c r="G11" i="27"/>
  <c r="F11" i="27"/>
  <c r="E11" i="27"/>
  <c r="AY10" i="27"/>
  <c r="AX10" i="27"/>
  <c r="AW10" i="27"/>
  <c r="AV10" i="27"/>
  <c r="AU10" i="27"/>
  <c r="AT10" i="27"/>
  <c r="AS10" i="27"/>
  <c r="AR10" i="27"/>
  <c r="AQ10" i="27"/>
  <c r="AP10" i="27"/>
  <c r="AO10" i="27"/>
  <c r="AN10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X10" i="27"/>
  <c r="W10" i="27"/>
  <c r="V10" i="27"/>
  <c r="U10" i="27"/>
  <c r="T10" i="27"/>
  <c r="S10" i="27"/>
  <c r="R10" i="27"/>
  <c r="Q10" i="27"/>
  <c r="P10" i="27"/>
  <c r="O10" i="27"/>
  <c r="N10" i="27"/>
  <c r="M10" i="27"/>
  <c r="L10" i="27"/>
  <c r="J10" i="27"/>
  <c r="I10" i="27"/>
  <c r="H10" i="27"/>
  <c r="G10" i="27"/>
  <c r="G10" i="19" l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E11" i="19"/>
  <c r="E12" i="19" s="1"/>
  <c r="E13" i="19" s="1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J50" i="19"/>
  <c r="L51" i="19"/>
  <c r="L50" i="19" s="1"/>
  <c r="M51" i="19"/>
  <c r="M50" i="19" s="1"/>
  <c r="N51" i="19"/>
  <c r="N50" i="19" s="1"/>
  <c r="O51" i="19"/>
  <c r="O50" i="19" s="1"/>
  <c r="P51" i="19"/>
  <c r="P50" i="19" s="1"/>
  <c r="Q51" i="19"/>
  <c r="Q50" i="19" s="1"/>
  <c r="R51" i="19"/>
  <c r="R50" i="19" s="1"/>
  <c r="S51" i="19"/>
  <c r="S50" i="19" s="1"/>
  <c r="T51" i="19"/>
  <c r="T50" i="19" s="1"/>
  <c r="U51" i="19"/>
  <c r="U50" i="19" s="1"/>
  <c r="V51" i="19"/>
  <c r="V50" i="19" s="1"/>
  <c r="W51" i="19"/>
  <c r="W50" i="19" s="1"/>
  <c r="X51" i="19"/>
  <c r="X50" i="19" s="1"/>
  <c r="Y51" i="19"/>
  <c r="Y50" i="19" s="1"/>
  <c r="Z51" i="19"/>
  <c r="Z50" i="19" s="1"/>
  <c r="AA51" i="19"/>
  <c r="AA50" i="19" s="1"/>
  <c r="AB51" i="19"/>
  <c r="AB50" i="19" s="1"/>
  <c r="AC51" i="19"/>
  <c r="AC50" i="19" s="1"/>
  <c r="AD51" i="19"/>
  <c r="AD50" i="19" s="1"/>
  <c r="AE51" i="19"/>
  <c r="AE50" i="19" s="1"/>
  <c r="AF51" i="19"/>
  <c r="AF50" i="19" s="1"/>
  <c r="AG51" i="19"/>
  <c r="AG50" i="19" s="1"/>
  <c r="AH51" i="19"/>
  <c r="AH50" i="19" s="1"/>
  <c r="AI51" i="19"/>
  <c r="AI50" i="19" s="1"/>
  <c r="AJ51" i="19"/>
  <c r="AJ50" i="19" s="1"/>
  <c r="AK51" i="19"/>
  <c r="AK50" i="19" s="1"/>
  <c r="AL51" i="19"/>
  <c r="AL50" i="19" s="1"/>
  <c r="AM51" i="19"/>
  <c r="AM50" i="19" s="1"/>
  <c r="AN51" i="19"/>
  <c r="AN50" i="19" s="1"/>
  <c r="AO51" i="19"/>
  <c r="AO50" i="19" s="1"/>
  <c r="AP51" i="19"/>
  <c r="AP50" i="19" s="1"/>
  <c r="AQ51" i="19"/>
  <c r="AQ50" i="19" s="1"/>
  <c r="AR51" i="19"/>
  <c r="AR50" i="19" s="1"/>
  <c r="AS51" i="19"/>
  <c r="AS50" i="19" s="1"/>
  <c r="AT51" i="19"/>
  <c r="AT50" i="19" s="1"/>
  <c r="AU51" i="19"/>
  <c r="AU50" i="19" s="1"/>
  <c r="AV51" i="19"/>
  <c r="AV50" i="19" s="1"/>
  <c r="AW51" i="19"/>
  <c r="AW50" i="19" s="1"/>
  <c r="AX51" i="19"/>
  <c r="AX50" i="19" s="1"/>
  <c r="AY51" i="19"/>
  <c r="AY50" i="19" s="1"/>
  <c r="C53" i="19"/>
  <c r="D53" i="19"/>
  <c r="C54" i="19"/>
  <c r="D54" i="19"/>
  <c r="C55" i="19"/>
  <c r="D55" i="19"/>
  <c r="C56" i="19"/>
  <c r="D56" i="19"/>
  <c r="C57" i="19"/>
  <c r="D57" i="19"/>
  <c r="C58" i="19"/>
  <c r="D58" i="19"/>
  <c r="C59" i="19"/>
  <c r="D59" i="19"/>
  <c r="C60" i="19"/>
  <c r="D60" i="19"/>
  <c r="C61" i="19"/>
  <c r="D61" i="19"/>
  <c r="C62" i="19"/>
  <c r="D62" i="19"/>
  <c r="C63" i="19"/>
  <c r="D63" i="19"/>
  <c r="C64" i="19"/>
  <c r="D64" i="19"/>
  <c r="C65" i="19"/>
  <c r="D65" i="19"/>
  <c r="C66" i="19"/>
  <c r="D66" i="19"/>
  <c r="C67" i="19"/>
  <c r="D67" i="19"/>
  <c r="C68" i="19"/>
  <c r="D68" i="19"/>
  <c r="C69" i="19"/>
  <c r="D69" i="19"/>
  <c r="C70" i="19"/>
  <c r="D70" i="19"/>
  <c r="C71" i="19"/>
  <c r="D71" i="19"/>
  <c r="C72" i="19"/>
  <c r="D72" i="19"/>
  <c r="C73" i="19"/>
  <c r="D73" i="19"/>
  <c r="C74" i="19"/>
  <c r="D74" i="19"/>
  <c r="C75" i="19"/>
  <c r="D75" i="19"/>
  <c r="C76" i="19"/>
  <c r="D76" i="19"/>
  <c r="C77" i="19"/>
  <c r="D77" i="19"/>
  <c r="C78" i="19"/>
  <c r="D78" i="19"/>
  <c r="C79" i="19"/>
  <c r="D79" i="19"/>
  <c r="C80" i="19"/>
  <c r="D80" i="19"/>
  <c r="C81" i="19"/>
  <c r="D81" i="19"/>
  <c r="C82" i="19"/>
  <c r="D82" i="19"/>
  <c r="C83" i="19"/>
  <c r="D83" i="19"/>
  <c r="C84" i="19"/>
  <c r="D84" i="19"/>
  <c r="C85" i="19"/>
  <c r="D85" i="19"/>
  <c r="C86" i="19"/>
  <c r="D86" i="19"/>
  <c r="C87" i="19"/>
  <c r="D87" i="19"/>
  <c r="C88" i="19"/>
  <c r="D88" i="19"/>
  <c r="C89" i="19"/>
  <c r="D89" i="19"/>
  <c r="C90" i="19"/>
  <c r="D90" i="19"/>
  <c r="C91" i="19"/>
  <c r="D91" i="19"/>
  <c r="C92" i="19"/>
  <c r="D92" i="19"/>
  <c r="C93" i="19"/>
  <c r="D93" i="19"/>
  <c r="A53" i="19" l="1"/>
  <c r="AS10" i="19"/>
  <c r="L11" i="19"/>
  <c r="M10" i="19"/>
  <c r="AY10" i="19"/>
  <c r="AX10" i="19"/>
  <c r="R13" i="19"/>
  <c r="AD13" i="19"/>
  <c r="R18" i="19"/>
  <c r="R15" i="19"/>
  <c r="R14" i="19"/>
  <c r="AP10" i="19"/>
  <c r="AO12" i="19"/>
  <c r="AR10" i="19"/>
  <c r="AR12" i="19"/>
  <c r="AR13" i="19"/>
  <c r="AR15" i="19"/>
  <c r="AR11" i="19"/>
  <c r="AR14" i="19"/>
  <c r="AJ10" i="19"/>
  <c r="AJ12" i="19"/>
  <c r="AJ13" i="19"/>
  <c r="AJ14" i="19"/>
  <c r="AJ11" i="19"/>
  <c r="AJ15" i="19"/>
  <c r="T10" i="19"/>
  <c r="T12" i="19"/>
  <c r="T13" i="19"/>
  <c r="T14" i="19"/>
  <c r="T11" i="19"/>
  <c r="T15" i="19"/>
  <c r="L10" i="19"/>
  <c r="L12" i="19"/>
  <c r="L13" i="19"/>
  <c r="L15" i="19"/>
  <c r="L14" i="19"/>
  <c r="AB10" i="19"/>
  <c r="AB12" i="19"/>
  <c r="AB13" i="19"/>
  <c r="AB15" i="19"/>
  <c r="AB14" i="19"/>
  <c r="AB11" i="19"/>
  <c r="AV10" i="19"/>
  <c r="AV12" i="19"/>
  <c r="AV13" i="19"/>
  <c r="I13" i="19" s="1"/>
  <c r="AV11" i="19"/>
  <c r="AF10" i="19"/>
  <c r="AF12" i="19"/>
  <c r="AF13" i="19"/>
  <c r="AF15" i="19"/>
  <c r="AF14" i="19"/>
  <c r="AF11" i="19"/>
  <c r="X10" i="19"/>
  <c r="X12" i="19"/>
  <c r="X13" i="19"/>
  <c r="X11" i="19"/>
  <c r="X14" i="19"/>
  <c r="X15" i="19"/>
  <c r="AU10" i="19"/>
  <c r="AU13" i="19"/>
  <c r="AU14" i="19"/>
  <c r="AU11" i="19"/>
  <c r="AU12" i="19"/>
  <c r="AQ10" i="19"/>
  <c r="AQ15" i="19"/>
  <c r="AQ12" i="19"/>
  <c r="AQ13" i="19"/>
  <c r="AQ14" i="19"/>
  <c r="AQ11" i="19"/>
  <c r="AM10" i="19"/>
  <c r="AM15" i="19"/>
  <c r="AM12" i="19"/>
  <c r="AM11" i="19"/>
  <c r="AM13" i="19"/>
  <c r="AM14" i="19"/>
  <c r="AI10" i="19"/>
  <c r="AI15" i="19"/>
  <c r="AI11" i="19"/>
  <c r="AI13" i="19"/>
  <c r="AI14" i="19"/>
  <c r="AI12" i="19"/>
  <c r="AE10" i="19"/>
  <c r="AE15" i="19"/>
  <c r="AE13" i="19"/>
  <c r="AE14" i="19"/>
  <c r="AE11" i="19"/>
  <c r="AE12" i="19"/>
  <c r="AA10" i="19"/>
  <c r="AA15" i="19"/>
  <c r="AA12" i="19"/>
  <c r="AA13" i="19"/>
  <c r="AA14" i="19"/>
  <c r="AA11" i="19"/>
  <c r="W10" i="19"/>
  <c r="W15" i="19"/>
  <c r="W12" i="19"/>
  <c r="W11" i="19"/>
  <c r="W13" i="19"/>
  <c r="W14" i="19"/>
  <c r="S10" i="19"/>
  <c r="S15" i="19"/>
  <c r="S11" i="19"/>
  <c r="S13" i="19"/>
  <c r="S14" i="19"/>
  <c r="S12" i="19"/>
  <c r="O10" i="19"/>
  <c r="O15" i="19"/>
  <c r="O13" i="19"/>
  <c r="O14" i="19"/>
  <c r="O11" i="19"/>
  <c r="O12" i="19"/>
  <c r="AN10" i="19"/>
  <c r="AN12" i="19"/>
  <c r="AN13" i="19"/>
  <c r="AN11" i="19"/>
  <c r="AN14" i="19"/>
  <c r="AN15" i="19"/>
  <c r="P10" i="19"/>
  <c r="P12" i="19"/>
  <c r="P13" i="19"/>
  <c r="P15" i="19"/>
  <c r="P14" i="19"/>
  <c r="P11" i="19"/>
  <c r="AT10" i="19"/>
  <c r="AT11" i="19"/>
  <c r="AT13" i="19"/>
  <c r="AT14" i="19"/>
  <c r="AT15" i="19"/>
  <c r="AT12" i="19"/>
  <c r="AP13" i="19"/>
  <c r="AP14" i="19"/>
  <c r="AP15" i="19"/>
  <c r="AP11" i="19"/>
  <c r="AP12" i="19"/>
  <c r="AL10" i="19"/>
  <c r="AL12" i="19"/>
  <c r="AL13" i="19"/>
  <c r="AL14" i="19"/>
  <c r="AL15" i="19"/>
  <c r="AH12" i="19"/>
  <c r="AH11" i="19"/>
  <c r="AH10" i="19"/>
  <c r="AH13" i="19"/>
  <c r="AH14" i="19"/>
  <c r="AH15" i="19"/>
  <c r="AD10" i="19"/>
  <c r="AD11" i="19"/>
  <c r="AD12" i="19"/>
  <c r="Z13" i="19"/>
  <c r="Z14" i="19"/>
  <c r="Z15" i="19"/>
  <c r="Z11" i="19"/>
  <c r="Z12" i="19"/>
  <c r="Z10" i="19"/>
  <c r="V10" i="19"/>
  <c r="V12" i="19"/>
  <c r="V13" i="19"/>
  <c r="V14" i="19"/>
  <c r="V15" i="19"/>
  <c r="V11" i="19"/>
  <c r="R12" i="19"/>
  <c r="R10" i="19"/>
  <c r="R11" i="19"/>
  <c r="N10" i="19"/>
  <c r="N11" i="19"/>
  <c r="N13" i="19"/>
  <c r="N14" i="19"/>
  <c r="N15" i="19"/>
  <c r="N12" i="19"/>
  <c r="AX11" i="19"/>
  <c r="AW11" i="19"/>
  <c r="AW12" i="19"/>
  <c r="AW10" i="19"/>
  <c r="AS11" i="19"/>
  <c r="AS14" i="19"/>
  <c r="AS12" i="19"/>
  <c r="AS13" i="19"/>
  <c r="AS15" i="19"/>
  <c r="AO11" i="19"/>
  <c r="AO14" i="19"/>
  <c r="AO10" i="19"/>
  <c r="AO13" i="19"/>
  <c r="AO15" i="19"/>
  <c r="AK11" i="19"/>
  <c r="AK14" i="19"/>
  <c r="AK13" i="19"/>
  <c r="AK15" i="19"/>
  <c r="AK10" i="19"/>
  <c r="AK12" i="19"/>
  <c r="AG11" i="19"/>
  <c r="AG14" i="19"/>
  <c r="AG12" i="19"/>
  <c r="AG10" i="19"/>
  <c r="AG13" i="19"/>
  <c r="AG15" i="19"/>
  <c r="AC11" i="19"/>
  <c r="AC14" i="19"/>
  <c r="AC12" i="19"/>
  <c r="AC10" i="19"/>
  <c r="AC13" i="19"/>
  <c r="AC15" i="19"/>
  <c r="Y11" i="19"/>
  <c r="Y14" i="19"/>
  <c r="Y10" i="19"/>
  <c r="Y13" i="19"/>
  <c r="Y15" i="19"/>
  <c r="Y12" i="19"/>
  <c r="U11" i="19"/>
  <c r="U14" i="19"/>
  <c r="U13" i="19"/>
  <c r="U15" i="19"/>
  <c r="U10" i="19"/>
  <c r="U12" i="19"/>
  <c r="Q11" i="19"/>
  <c r="Q14" i="19"/>
  <c r="Q12" i="19"/>
  <c r="Q10" i="19"/>
  <c r="Q13" i="19"/>
  <c r="Q15" i="19"/>
  <c r="M11" i="19"/>
  <c r="M14" i="19"/>
  <c r="M12" i="19"/>
  <c r="M13" i="19"/>
  <c r="M15" i="19"/>
  <c r="AD15" i="19"/>
  <c r="AD14" i="19"/>
  <c r="AL11" i="19"/>
  <c r="E14" i="19"/>
  <c r="I12" i="19" l="1"/>
  <c r="I11" i="19"/>
  <c r="I10" i="19"/>
  <c r="AE16" i="19"/>
  <c r="AB18" i="19"/>
  <c r="V16" i="19"/>
  <c r="AH17" i="19"/>
  <c r="R16" i="19"/>
  <c r="AP18" i="19"/>
  <c r="AA18" i="19"/>
  <c r="W18" i="19"/>
  <c r="M18" i="19"/>
  <c r="U18" i="19"/>
  <c r="Z16" i="19"/>
  <c r="AL16" i="19"/>
  <c r="AD17" i="19"/>
  <c r="O17" i="19"/>
  <c r="S18" i="19"/>
  <c r="AF16" i="19"/>
  <c r="AN17" i="19"/>
  <c r="U16" i="19"/>
  <c r="Y16" i="19"/>
  <c r="AG16" i="19"/>
  <c r="AI17" i="19"/>
  <c r="Q18" i="19"/>
  <c r="R17" i="19"/>
  <c r="V17" i="19"/>
  <c r="Z17" i="19"/>
  <c r="AE18" i="19"/>
  <c r="W17" i="19"/>
  <c r="AI18" i="19"/>
  <c r="AF18" i="19"/>
  <c r="AA17" i="19"/>
  <c r="AD16" i="19"/>
  <c r="AH16" i="19"/>
  <c r="M16" i="19"/>
  <c r="AG17" i="19"/>
  <c r="P18" i="19"/>
  <c r="AN16" i="19"/>
  <c r="S17" i="19"/>
  <c r="AM16" i="19"/>
  <c r="T18" i="19"/>
  <c r="AO17" i="19"/>
  <c r="T17" i="19"/>
  <c r="L18" i="19"/>
  <c r="X16" i="19"/>
  <c r="AC18" i="19"/>
  <c r="AK18" i="19"/>
  <c r="AO18" i="19"/>
  <c r="AH18" i="19"/>
  <c r="AP16" i="19"/>
  <c r="P16" i="19"/>
  <c r="O18" i="19"/>
  <c r="W16" i="19"/>
  <c r="AM17" i="19"/>
  <c r="AQ17" i="19"/>
  <c r="AJ18" i="19"/>
  <c r="AR17" i="19"/>
  <c r="M17" i="19"/>
  <c r="Q17" i="19"/>
  <c r="Y17" i="19"/>
  <c r="AC16" i="19"/>
  <c r="AK17" i="19"/>
  <c r="AN18" i="19"/>
  <c r="O16" i="19"/>
  <c r="AI16" i="19"/>
  <c r="AM18" i="19"/>
  <c r="AJ16" i="19"/>
  <c r="N17" i="19"/>
  <c r="Z18" i="19"/>
  <c r="AD18" i="19"/>
  <c r="S16" i="19"/>
  <c r="AQ18" i="19"/>
  <c r="X18" i="19"/>
  <c r="AF17" i="19"/>
  <c r="Q16" i="19"/>
  <c r="U17" i="19"/>
  <c r="AG18" i="19"/>
  <c r="Y18" i="19"/>
  <c r="AC17" i="19"/>
  <c r="AS16" i="19"/>
  <c r="N18" i="19"/>
  <c r="N16" i="19"/>
  <c r="AE17" i="19"/>
  <c r="L17" i="19"/>
  <c r="T16" i="19"/>
  <c r="AL18" i="19"/>
  <c r="P17" i="19"/>
  <c r="AA16" i="19"/>
  <c r="X17" i="19"/>
  <c r="AB16" i="19"/>
  <c r="AJ17" i="19"/>
  <c r="AO16" i="19"/>
  <c r="AK16" i="19"/>
  <c r="AL17" i="19"/>
  <c r="AP17" i="19"/>
  <c r="AQ16" i="19"/>
  <c r="AR16" i="19"/>
  <c r="AB17" i="19"/>
  <c r="L16" i="19"/>
  <c r="V18" i="19"/>
  <c r="H11" i="19"/>
  <c r="H13" i="19"/>
  <c r="J13" i="19" s="1"/>
  <c r="H12" i="19"/>
  <c r="H10" i="19"/>
  <c r="H14" i="19"/>
  <c r="I14" i="19"/>
  <c r="E15" i="19"/>
  <c r="J12" i="19" l="1"/>
  <c r="J11" i="19"/>
  <c r="J10" i="19"/>
  <c r="AF19" i="19"/>
  <c r="AM19" i="19"/>
  <c r="AE19" i="19"/>
  <c r="AP19" i="19"/>
  <c r="AH19" i="19"/>
  <c r="AD19" i="19"/>
  <c r="AC19" i="19"/>
  <c r="AO19" i="19"/>
  <c r="AB19" i="19"/>
  <c r="AG19" i="19"/>
  <c r="AL19" i="19"/>
  <c r="AJ19" i="19"/>
  <c r="Z19" i="19"/>
  <c r="S19" i="19"/>
  <c r="R19" i="19"/>
  <c r="U19" i="19"/>
  <c r="N19" i="19"/>
  <c r="T19" i="19"/>
  <c r="X19" i="19"/>
  <c r="AI19" i="19"/>
  <c r="AA19" i="19"/>
  <c r="Y19" i="19"/>
  <c r="Q19" i="19"/>
  <c r="W19" i="19"/>
  <c r="O19" i="19"/>
  <c r="V19" i="19"/>
  <c r="AK19" i="19"/>
  <c r="L19" i="19"/>
  <c r="AN19" i="19"/>
  <c r="M19" i="19"/>
  <c r="P19" i="19"/>
  <c r="J14" i="19"/>
  <c r="E16" i="19"/>
  <c r="I15" i="19"/>
  <c r="H15" i="19"/>
  <c r="AB20" i="19" l="1"/>
  <c r="AH20" i="19"/>
  <c r="AG20" i="19"/>
  <c r="U20" i="19"/>
  <c r="S20" i="19"/>
  <c r="M20" i="19"/>
  <c r="O20" i="19"/>
  <c r="P20" i="19"/>
  <c r="Y20" i="19"/>
  <c r="AJ20" i="19"/>
  <c r="AF20" i="19"/>
  <c r="AI20" i="19"/>
  <c r="R20" i="19"/>
  <c r="N20" i="19"/>
  <c r="AL20" i="19"/>
  <c r="AA20" i="19"/>
  <c r="AM20" i="19"/>
  <c r="AN20" i="19"/>
  <c r="V20" i="19"/>
  <c r="T20" i="19"/>
  <c r="AE20" i="19"/>
  <c r="Q20" i="19"/>
  <c r="X20" i="19"/>
  <c r="AD20" i="19"/>
  <c r="AK20" i="19"/>
  <c r="AC20" i="19"/>
  <c r="L20" i="19"/>
  <c r="W20" i="19"/>
  <c r="Z20" i="19"/>
  <c r="AO20" i="19"/>
  <c r="J15" i="19"/>
  <c r="I16" i="19"/>
  <c r="E17" i="19"/>
  <c r="H16" i="19"/>
  <c r="AG21" i="19" l="1"/>
  <c r="AC21" i="19"/>
  <c r="AL21" i="19"/>
  <c r="AK21" i="19"/>
  <c r="O21" i="19"/>
  <c r="AN21" i="19"/>
  <c r="AM21" i="19"/>
  <c r="AA21" i="19"/>
  <c r="AE21" i="19"/>
  <c r="Y21" i="19"/>
  <c r="S21" i="19"/>
  <c r="N21" i="19"/>
  <c r="AI21" i="19"/>
  <c r="AJ21" i="19"/>
  <c r="V21" i="19"/>
  <c r="X21" i="19"/>
  <c r="L21" i="19"/>
  <c r="P21" i="19"/>
  <c r="R21" i="19"/>
  <c r="M21" i="19"/>
  <c r="AF21" i="19"/>
  <c r="AH21" i="19"/>
  <c r="T21" i="19"/>
  <c r="Z21" i="19"/>
  <c r="U21" i="19"/>
  <c r="Q21" i="19"/>
  <c r="AB21" i="19"/>
  <c r="AD21" i="19"/>
  <c r="W21" i="19"/>
  <c r="J16" i="19"/>
  <c r="I17" i="19"/>
  <c r="H17" i="19"/>
  <c r="E18" i="19"/>
  <c r="AI22" i="19" l="1"/>
  <c r="P22" i="19"/>
  <c r="AG22" i="19"/>
  <c r="AH22" i="19"/>
  <c r="L22" i="19"/>
  <c r="AC22" i="19"/>
  <c r="M22" i="19"/>
  <c r="O22" i="19"/>
  <c r="AK22" i="19"/>
  <c r="AA22" i="19"/>
  <c r="T22" i="19"/>
  <c r="Y22" i="19"/>
  <c r="N22" i="19"/>
  <c r="AF22" i="19"/>
  <c r="AM22" i="19"/>
  <c r="R22" i="19"/>
  <c r="Q22" i="19"/>
  <c r="X22" i="19"/>
  <c r="AD22" i="19"/>
  <c r="AB22" i="19"/>
  <c r="V22" i="19"/>
  <c r="AJ22" i="19"/>
  <c r="S22" i="19"/>
  <c r="W22" i="19"/>
  <c r="AL22" i="19"/>
  <c r="Z22" i="19"/>
  <c r="U22" i="19"/>
  <c r="AE22" i="19"/>
  <c r="J17" i="19"/>
  <c r="H18" i="19"/>
  <c r="E19" i="19"/>
  <c r="I18" i="19"/>
  <c r="S23" i="19" l="1"/>
  <c r="L23" i="19"/>
  <c r="AD23" i="19"/>
  <c r="P23" i="19"/>
  <c r="X23" i="19"/>
  <c r="AC23" i="19"/>
  <c r="Z23" i="19"/>
  <c r="V23" i="19"/>
  <c r="AL23" i="19"/>
  <c r="AH23" i="19"/>
  <c r="T23" i="19"/>
  <c r="N23" i="19"/>
  <c r="M23" i="19"/>
  <c r="R23" i="19"/>
  <c r="AB23" i="19"/>
  <c r="AK23" i="19"/>
  <c r="AI23" i="19"/>
  <c r="Q23" i="19"/>
  <c r="AF23" i="19"/>
  <c r="AG23" i="19"/>
  <c r="Y23" i="19"/>
  <c r="AE23" i="19"/>
  <c r="U23" i="19"/>
  <c r="W23" i="19"/>
  <c r="AA23" i="19"/>
  <c r="AJ23" i="19"/>
  <c r="O23" i="19"/>
  <c r="E20" i="19"/>
  <c r="I19" i="19"/>
  <c r="H19" i="19"/>
  <c r="J18" i="19"/>
  <c r="J19" i="19" l="1"/>
  <c r="V24" i="19"/>
  <c r="N24" i="19"/>
  <c r="AF24" i="19"/>
  <c r="Y24" i="19"/>
  <c r="P24" i="19"/>
  <c r="AI24" i="19"/>
  <c r="AH24" i="19"/>
  <c r="AC24" i="19"/>
  <c r="AE24" i="19"/>
  <c r="Z24" i="19"/>
  <c r="AB24" i="19"/>
  <c r="O24" i="19"/>
  <c r="AK24" i="19"/>
  <c r="S24" i="19"/>
  <c r="R24" i="19"/>
  <c r="U24" i="19"/>
  <c r="AJ24" i="19"/>
  <c r="L24" i="19"/>
  <c r="AD24" i="19"/>
  <c r="T24" i="19"/>
  <c r="AA24" i="19"/>
  <c r="AG24" i="19"/>
  <c r="Q24" i="19"/>
  <c r="W24" i="19"/>
  <c r="X24" i="19"/>
  <c r="M24" i="19"/>
  <c r="I20" i="19"/>
  <c r="E21" i="19"/>
  <c r="H20" i="19"/>
  <c r="Y25" i="19" l="1"/>
  <c r="W25" i="19"/>
  <c r="X25" i="19"/>
  <c r="P25" i="19"/>
  <c r="AA25" i="19"/>
  <c r="AC25" i="19"/>
  <c r="S25" i="19"/>
  <c r="O25" i="19"/>
  <c r="R25" i="19"/>
  <c r="AJ25" i="19"/>
  <c r="AE25" i="19"/>
  <c r="AG25" i="19"/>
  <c r="L25" i="19"/>
  <c r="U25" i="19"/>
  <c r="AF25" i="19"/>
  <c r="AH25" i="19"/>
  <c r="Z25" i="19"/>
  <c r="AD25" i="19"/>
  <c r="M25" i="19"/>
  <c r="T25" i="19"/>
  <c r="V25" i="19"/>
  <c r="N25" i="19"/>
  <c r="AI25" i="19"/>
  <c r="AB25" i="19"/>
  <c r="Q25" i="19"/>
  <c r="I21" i="19"/>
  <c r="H21" i="19"/>
  <c r="E22" i="19"/>
  <c r="J20" i="19"/>
  <c r="V26" i="19" l="1"/>
  <c r="U26" i="19"/>
  <c r="AI26" i="19"/>
  <c r="AH26" i="19"/>
  <c r="AD26" i="19"/>
  <c r="AE26" i="19"/>
  <c r="AC26" i="19"/>
  <c r="S26" i="19"/>
  <c r="R26" i="19"/>
  <c r="Q26" i="19"/>
  <c r="AF26" i="19"/>
  <c r="AB26" i="19"/>
  <c r="X26" i="19"/>
  <c r="Y26" i="19"/>
  <c r="W26" i="19"/>
  <c r="M26" i="19"/>
  <c r="T26" i="19"/>
  <c r="L26" i="19"/>
  <c r="O26" i="19"/>
  <c r="AA26" i="19"/>
  <c r="N26" i="19"/>
  <c r="AG26" i="19"/>
  <c r="P26" i="19"/>
  <c r="Z26" i="19"/>
  <c r="J21" i="19"/>
  <c r="I22" i="19"/>
  <c r="E23" i="19"/>
  <c r="H22" i="19"/>
  <c r="AH27" i="19" l="1"/>
  <c r="P27" i="19"/>
  <c r="AE27" i="19"/>
  <c r="Q27" i="19"/>
  <c r="O27" i="19"/>
  <c r="U27" i="19"/>
  <c r="AA27" i="19"/>
  <c r="V27" i="19"/>
  <c r="M27" i="19"/>
  <c r="W27" i="19"/>
  <c r="AC27" i="19"/>
  <c r="R27" i="19"/>
  <c r="AD27" i="19"/>
  <c r="T27" i="19"/>
  <c r="N27" i="19"/>
  <c r="Z27" i="19"/>
  <c r="L27" i="19"/>
  <c r="S27" i="19"/>
  <c r="AG27" i="19"/>
  <c r="Y27" i="19"/>
  <c r="X27" i="19"/>
  <c r="AF27" i="19"/>
  <c r="AB27" i="19"/>
  <c r="J22" i="19"/>
  <c r="H23" i="19"/>
  <c r="E24" i="19"/>
  <c r="I23" i="19"/>
  <c r="Z28" i="19" l="1"/>
  <c r="W28" i="19"/>
  <c r="Q28" i="19"/>
  <c r="AA28" i="19"/>
  <c r="AE28" i="19"/>
  <c r="AC28" i="19"/>
  <c r="AF28" i="19"/>
  <c r="S28" i="19"/>
  <c r="P28" i="19"/>
  <c r="Y28" i="19"/>
  <c r="N28" i="19"/>
  <c r="M28" i="19"/>
  <c r="T28" i="19"/>
  <c r="V28" i="19"/>
  <c r="L28" i="19"/>
  <c r="O28" i="19"/>
  <c r="AD28" i="19"/>
  <c r="AB28" i="19"/>
  <c r="AG28" i="19"/>
  <c r="R28" i="19"/>
  <c r="X28" i="19"/>
  <c r="U28" i="19"/>
  <c r="I24" i="19"/>
  <c r="E25" i="19"/>
  <c r="H24" i="19"/>
  <c r="J23" i="19"/>
  <c r="AD29" i="19" l="1"/>
  <c r="Q29" i="19"/>
  <c r="U29" i="19"/>
  <c r="M29" i="19"/>
  <c r="V29" i="19"/>
  <c r="AB29" i="19"/>
  <c r="X29" i="19"/>
  <c r="O29" i="19"/>
  <c r="AC29" i="19"/>
  <c r="AE29" i="19"/>
  <c r="Y29" i="19"/>
  <c r="R29" i="19"/>
  <c r="T29" i="19"/>
  <c r="AF29" i="19"/>
  <c r="Z29" i="19"/>
  <c r="S29" i="19"/>
  <c r="AA29" i="19"/>
  <c r="W29" i="19"/>
  <c r="P29" i="19"/>
  <c r="N29" i="19"/>
  <c r="L29" i="19"/>
  <c r="I25" i="19"/>
  <c r="H25" i="19"/>
  <c r="E26" i="19"/>
  <c r="J24" i="19"/>
  <c r="W30" i="19" l="1"/>
  <c r="AC30" i="19"/>
  <c r="V30" i="19"/>
  <c r="Q30" i="19"/>
  <c r="R30" i="19"/>
  <c r="AA30" i="19"/>
  <c r="N30" i="19"/>
  <c r="AD30" i="19"/>
  <c r="X30" i="19"/>
  <c r="O30" i="19"/>
  <c r="P30" i="19"/>
  <c r="AE30" i="19"/>
  <c r="Z30" i="19"/>
  <c r="S30" i="19"/>
  <c r="T30" i="19"/>
  <c r="L30" i="19"/>
  <c r="U30" i="19"/>
  <c r="Y30" i="19"/>
  <c r="AB30" i="19"/>
  <c r="M30" i="19"/>
  <c r="E27" i="19"/>
  <c r="H26" i="19"/>
  <c r="I26" i="19"/>
  <c r="J25" i="19"/>
  <c r="R31" i="19" l="1"/>
  <c r="P31" i="19"/>
  <c r="N31" i="19"/>
  <c r="T31" i="19"/>
  <c r="W31" i="19"/>
  <c r="L31" i="19"/>
  <c r="V31" i="19"/>
  <c r="U31" i="19"/>
  <c r="Q31" i="19"/>
  <c r="AB31" i="19"/>
  <c r="AD31" i="19"/>
  <c r="AC31" i="19"/>
  <c r="M31" i="19"/>
  <c r="X31" i="19"/>
  <c r="AA31" i="19"/>
  <c r="Y31" i="19"/>
  <c r="S31" i="19"/>
  <c r="Z31" i="19"/>
  <c r="O31" i="19"/>
  <c r="J26" i="19"/>
  <c r="I27" i="19"/>
  <c r="H27" i="19"/>
  <c r="E28" i="19"/>
  <c r="AA32" i="19" l="1"/>
  <c r="S32" i="19"/>
  <c r="P32" i="19"/>
  <c r="AB32" i="19"/>
  <c r="R32" i="19"/>
  <c r="W32" i="19"/>
  <c r="T32" i="19"/>
  <c r="AC32" i="19"/>
  <c r="X32" i="19"/>
  <c r="N32" i="19"/>
  <c r="O32" i="19"/>
  <c r="U32" i="19"/>
  <c r="Z32" i="19"/>
  <c r="M32" i="19"/>
  <c r="Q32" i="19"/>
  <c r="V32" i="19"/>
  <c r="Y32" i="19"/>
  <c r="L32" i="19"/>
  <c r="H28" i="19"/>
  <c r="I28" i="19"/>
  <c r="E29" i="19"/>
  <c r="J27" i="19"/>
  <c r="M33" i="19" l="1"/>
  <c r="R33" i="19"/>
  <c r="T33" i="19"/>
  <c r="Q33" i="19"/>
  <c r="O33" i="19"/>
  <c r="X33" i="19"/>
  <c r="Y33" i="19"/>
  <c r="AA33" i="19"/>
  <c r="L33" i="19"/>
  <c r="S33" i="19"/>
  <c r="AB33" i="19"/>
  <c r="Z33" i="19"/>
  <c r="W33" i="19"/>
  <c r="V33" i="19"/>
  <c r="N33" i="19"/>
  <c r="U33" i="19"/>
  <c r="P33" i="19"/>
  <c r="J28" i="19"/>
  <c r="H29" i="19"/>
  <c r="E30" i="19"/>
  <c r="I29" i="19"/>
  <c r="O34" i="19" l="1"/>
  <c r="AA34" i="19"/>
  <c r="P34" i="19"/>
  <c r="S34" i="19"/>
  <c r="U34" i="19"/>
  <c r="L34" i="19"/>
  <c r="Q34" i="19"/>
  <c r="V34" i="19"/>
  <c r="Y34" i="19"/>
  <c r="M34" i="19"/>
  <c r="R34" i="19"/>
  <c r="X34" i="19"/>
  <c r="Z34" i="19"/>
  <c r="N34" i="19"/>
  <c r="W34" i="19"/>
  <c r="T34" i="19"/>
  <c r="I30" i="19"/>
  <c r="H30" i="19"/>
  <c r="E31" i="19"/>
  <c r="J29" i="19"/>
  <c r="J30" i="19" l="1"/>
  <c r="X35" i="19"/>
  <c r="P35" i="19"/>
  <c r="S35" i="19"/>
  <c r="V35" i="19"/>
  <c r="Y35" i="19"/>
  <c r="R35" i="19"/>
  <c r="Q35" i="19"/>
  <c r="N35" i="19"/>
  <c r="M35" i="19"/>
  <c r="O35" i="19"/>
  <c r="W35" i="19"/>
  <c r="Z35" i="19"/>
  <c r="T35" i="19"/>
  <c r="U35" i="19"/>
  <c r="L35" i="19"/>
  <c r="E32" i="19"/>
  <c r="H31" i="19"/>
  <c r="I31" i="19"/>
  <c r="P36" i="19" l="1"/>
  <c r="R36" i="19"/>
  <c r="M36" i="19"/>
  <c r="N36" i="19"/>
  <c r="L36" i="19"/>
  <c r="V36" i="19"/>
  <c r="X36" i="19"/>
  <c r="W36" i="19"/>
  <c r="O36" i="19"/>
  <c r="Y36" i="19"/>
  <c r="U36" i="19"/>
  <c r="T36" i="19"/>
  <c r="Q36" i="19"/>
  <c r="S36" i="19"/>
  <c r="I32" i="19"/>
  <c r="E33" i="19"/>
  <c r="H32" i="19"/>
  <c r="J31" i="19"/>
  <c r="J32" i="19" l="1"/>
  <c r="L37" i="19"/>
  <c r="W37" i="19"/>
  <c r="X37" i="19"/>
  <c r="O37" i="19"/>
  <c r="N37" i="19"/>
  <c r="U37" i="19"/>
  <c r="V37" i="19"/>
  <c r="Q37" i="19"/>
  <c r="R37" i="19"/>
  <c r="P37" i="19"/>
  <c r="S37" i="19"/>
  <c r="M37" i="19"/>
  <c r="T37" i="19"/>
  <c r="I33" i="19"/>
  <c r="E34" i="19"/>
  <c r="H33" i="19"/>
  <c r="O38" i="19" l="1"/>
  <c r="S38" i="19"/>
  <c r="V38" i="19"/>
  <c r="U38" i="19"/>
  <c r="R38" i="19"/>
  <c r="P38" i="19"/>
  <c r="N38" i="19"/>
  <c r="Q38" i="19"/>
  <c r="M38" i="19"/>
  <c r="T38" i="19"/>
  <c r="L38" i="19"/>
  <c r="W38" i="19"/>
  <c r="E35" i="19"/>
  <c r="H34" i="19"/>
  <c r="I34" i="19"/>
  <c r="J33" i="19"/>
  <c r="N39" i="19" l="1"/>
  <c r="P39" i="19"/>
  <c r="V39" i="19"/>
  <c r="T39" i="19"/>
  <c r="S39" i="19"/>
  <c r="R39" i="19"/>
  <c r="L39" i="19"/>
  <c r="M39" i="19"/>
  <c r="Q39" i="19"/>
  <c r="U39" i="19"/>
  <c r="O39" i="19"/>
  <c r="J34" i="19"/>
  <c r="I35" i="19"/>
  <c r="H35" i="19"/>
  <c r="E36" i="19"/>
  <c r="J35" i="19" l="1"/>
  <c r="T40" i="19"/>
  <c r="M40" i="19"/>
  <c r="S40" i="19"/>
  <c r="L40" i="19"/>
  <c r="P40" i="19"/>
  <c r="O40" i="19"/>
  <c r="U40" i="19"/>
  <c r="Q40" i="19"/>
  <c r="N40" i="19"/>
  <c r="R40" i="19"/>
  <c r="H36" i="19"/>
  <c r="I36" i="19"/>
  <c r="E37" i="19"/>
  <c r="M41" i="19" l="1"/>
  <c r="N41" i="19"/>
  <c r="T41" i="19"/>
  <c r="L41" i="19"/>
  <c r="R41" i="19"/>
  <c r="S41" i="19"/>
  <c r="O41" i="19"/>
  <c r="Q41" i="19"/>
  <c r="P41" i="19"/>
  <c r="J36" i="19"/>
  <c r="H37" i="19"/>
  <c r="E38" i="19"/>
  <c r="I37" i="19"/>
  <c r="O42" i="19" l="1"/>
  <c r="Q42" i="19"/>
  <c r="R42" i="19"/>
  <c r="M42" i="19"/>
  <c r="P42" i="19"/>
  <c r="N42" i="19"/>
  <c r="L42" i="19"/>
  <c r="S42" i="19"/>
  <c r="J37" i="19"/>
  <c r="I38" i="19"/>
  <c r="H38" i="19"/>
  <c r="E39" i="19"/>
  <c r="J38" i="19" l="1"/>
  <c r="Q43" i="19"/>
  <c r="M43" i="19"/>
  <c r="O43" i="19"/>
  <c r="N43" i="19"/>
  <c r="P43" i="19"/>
  <c r="L43" i="19"/>
  <c r="R43" i="19"/>
  <c r="E40" i="19"/>
  <c r="H39" i="19"/>
  <c r="I39" i="19"/>
  <c r="N44" i="19" l="1"/>
  <c r="P44" i="19"/>
  <c r="M44" i="19"/>
  <c r="L44" i="19"/>
  <c r="O44" i="19"/>
  <c r="Q44" i="19"/>
  <c r="J39" i="19"/>
  <c r="I40" i="19"/>
  <c r="E41" i="19"/>
  <c r="H40" i="19"/>
  <c r="N45" i="19" l="1"/>
  <c r="O45" i="19"/>
  <c r="P45" i="19"/>
  <c r="M45" i="19"/>
  <c r="L45" i="19"/>
  <c r="J40" i="19"/>
  <c r="I41" i="19"/>
  <c r="H41" i="19"/>
  <c r="E42" i="19"/>
  <c r="M46" i="19" l="1"/>
  <c r="L46" i="19"/>
  <c r="N46" i="19"/>
  <c r="O46" i="19"/>
  <c r="E43" i="19"/>
  <c r="H42" i="19"/>
  <c r="I42" i="19"/>
  <c r="J41" i="19"/>
  <c r="N47" i="19" l="1"/>
  <c r="M47" i="19"/>
  <c r="L47" i="19"/>
  <c r="J42" i="19"/>
  <c r="I43" i="19"/>
  <c r="H43" i="19"/>
  <c r="E44" i="19"/>
  <c r="J43" i="19" l="1"/>
  <c r="L48" i="19"/>
  <c r="M48" i="19"/>
  <c r="H44" i="19"/>
  <c r="I44" i="19"/>
  <c r="E45" i="19"/>
  <c r="J44" i="19" l="1"/>
  <c r="L49" i="19"/>
  <c r="H45" i="19"/>
  <c r="E46" i="19"/>
  <c r="I45" i="19"/>
  <c r="I46" i="19" l="1"/>
  <c r="H46" i="19"/>
  <c r="E47" i="19"/>
  <c r="J45" i="19"/>
  <c r="J46" i="19" l="1"/>
  <c r="E48" i="19"/>
  <c r="H47" i="19"/>
  <c r="I47" i="19"/>
  <c r="J47" i="19" l="1"/>
  <c r="I48" i="19"/>
  <c r="E49" i="19"/>
  <c r="H48" i="19"/>
  <c r="J48" i="19" l="1"/>
  <c r="I49" i="19"/>
  <c r="E50" i="19"/>
  <c r="H49" i="19"/>
  <c r="J49" i="19" l="1"/>
</calcChain>
</file>

<file path=xl/sharedStrings.xml><?xml version="1.0" encoding="utf-8"?>
<sst xmlns="http://schemas.openxmlformats.org/spreadsheetml/2006/main" count="31" uniqueCount="17">
  <si>
    <t>Parameters</t>
  </si>
  <si>
    <t>EE</t>
  </si>
  <si>
    <t>Spot interest rate</t>
  </si>
  <si>
    <t>Equilibrium (b)</t>
  </si>
  <si>
    <t>Mean reversion (a)</t>
  </si>
  <si>
    <r>
      <t>Volatility (</t>
    </r>
    <r>
      <rPr>
        <sz val="10"/>
        <rFont val="Symbol"/>
        <family val="1"/>
        <charset val="2"/>
      </rPr>
      <t>s)</t>
    </r>
  </si>
  <si>
    <t>Swap rate</t>
  </si>
  <si>
    <t>Interest rate</t>
  </si>
  <si>
    <t>Fixed leg</t>
  </si>
  <si>
    <t>Floating leg</t>
  </si>
  <si>
    <t>Swap MtM</t>
  </si>
  <si>
    <t>Time</t>
  </si>
  <si>
    <t>Discount factors</t>
  </si>
  <si>
    <t>Simulations</t>
  </si>
  <si>
    <t>A</t>
  </si>
  <si>
    <t>B</t>
  </si>
  <si>
    <t>PFE (90%)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</si>
</sst>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F&quot;_-;\-* #,##0\ &quot;F&quot;_-;_-* &quot;-&quot;\ &quot;F&quot;_-;_-@_-"/>
    <numFmt numFmtId="168" formatCode="_-* #,##0.00\ &quot;F&quot;_-;\-* #,##0.00\ &quot;F&quot;_-;_-* &quot;-&quot;??\ &quot;F&quot;_-;_-@_-"/>
    <numFmt numFmtId="169" formatCode="0.000000%"/>
    <numFmt numFmtId="170" formatCode="#,##0.0;\-#,##0.0"/>
    <numFmt numFmtId="171" formatCode="0.0%"/>
    <numFmt numFmtId="173" formatCode="0.0000"/>
    <numFmt numFmtId="174" formatCode="0.000%"/>
    <numFmt numFmtId="181" formatCode="0.000000000000000"/>
    <numFmt numFmtId="182" formatCode="0.0000000000000000%"/>
    <numFmt numFmtId="183" formatCode="0.0000000000000000000"/>
    <numFmt numFmtId="184" formatCode="0.0000%"/>
    <numFmt numFmtId="185" formatCode="0.000000"/>
  </numFmts>
  <fonts count="5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98">
    <xf numFmtId="0" fontId="0" fillId="0" borderId="0"/>
    <xf numFmtId="0" fontId="3" fillId="2" borderId="0" applyNumberFormat="0" applyBorder="0" applyAlignment="0" applyProtection="0"/>
    <xf numFmtId="0" fontId="30" fillId="29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0" fillId="29" borderId="0" applyNumberFormat="0" applyBorder="0" applyAlignment="0" applyProtection="0"/>
    <xf numFmtId="0" fontId="3" fillId="3" borderId="0" applyNumberFormat="0" applyBorder="0" applyAlignment="0" applyProtection="0"/>
    <xf numFmtId="0" fontId="30" fillId="30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0" fillId="30" borderId="0" applyNumberFormat="0" applyBorder="0" applyAlignment="0" applyProtection="0"/>
    <xf numFmtId="0" fontId="3" fillId="4" borderId="0" applyNumberFormat="0" applyBorder="0" applyAlignment="0" applyProtection="0"/>
    <xf numFmtId="0" fontId="30" fillId="31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0" fillId="31" borderId="0" applyNumberFormat="0" applyBorder="0" applyAlignment="0" applyProtection="0"/>
    <xf numFmtId="0" fontId="3" fillId="5" borderId="0" applyNumberFormat="0" applyBorder="0" applyAlignment="0" applyProtection="0"/>
    <xf numFmtId="0" fontId="30" fillId="32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0" fillId="32" borderId="0" applyNumberFormat="0" applyBorder="0" applyAlignment="0" applyProtection="0"/>
    <xf numFmtId="0" fontId="3" fillId="6" borderId="0" applyNumberFormat="0" applyBorder="0" applyAlignment="0" applyProtection="0"/>
    <xf numFmtId="0" fontId="30" fillId="3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0" fillId="33" borderId="0" applyNumberFormat="0" applyBorder="0" applyAlignment="0" applyProtection="0"/>
    <xf numFmtId="0" fontId="3" fillId="7" borderId="0" applyNumberFormat="0" applyBorder="0" applyAlignment="0" applyProtection="0"/>
    <xf numFmtId="0" fontId="30" fillId="34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0" fillId="34" borderId="0" applyNumberFormat="0" applyBorder="0" applyAlignment="0" applyProtection="0"/>
    <xf numFmtId="0" fontId="3" fillId="8" borderId="0" applyNumberFormat="0" applyBorder="0" applyAlignment="0" applyProtection="0"/>
    <xf numFmtId="0" fontId="30" fillId="3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0" fillId="35" borderId="0" applyNumberFormat="0" applyBorder="0" applyAlignment="0" applyProtection="0"/>
    <xf numFmtId="0" fontId="3" fillId="9" borderId="0" applyNumberFormat="0" applyBorder="0" applyAlignment="0" applyProtection="0"/>
    <xf numFmtId="0" fontId="30" fillId="36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0" fillId="36" borderId="0" applyNumberFormat="0" applyBorder="0" applyAlignment="0" applyProtection="0"/>
    <xf numFmtId="0" fontId="3" fillId="10" borderId="0" applyNumberFormat="0" applyBorder="0" applyAlignment="0" applyProtection="0"/>
    <xf numFmtId="0" fontId="30" fillId="37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0" fillId="37" borderId="0" applyNumberFormat="0" applyBorder="0" applyAlignment="0" applyProtection="0"/>
    <xf numFmtId="0" fontId="3" fillId="5" borderId="0" applyNumberFormat="0" applyBorder="0" applyAlignment="0" applyProtection="0"/>
    <xf numFmtId="0" fontId="30" fillId="38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0" fillId="38" borderId="0" applyNumberFormat="0" applyBorder="0" applyAlignment="0" applyProtection="0"/>
    <xf numFmtId="0" fontId="3" fillId="8" borderId="0" applyNumberFormat="0" applyBorder="0" applyAlignment="0" applyProtection="0"/>
    <xf numFmtId="0" fontId="30" fillId="39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0" fillId="39" borderId="0" applyNumberFormat="0" applyBorder="0" applyAlignment="0" applyProtection="0"/>
    <xf numFmtId="0" fontId="3" fillId="11" borderId="0" applyNumberFormat="0" applyBorder="0" applyAlignment="0" applyProtection="0"/>
    <xf numFmtId="0" fontId="30" fillId="4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0" fillId="40" borderId="0" applyNumberFormat="0" applyBorder="0" applyAlignment="0" applyProtection="0"/>
    <xf numFmtId="0" fontId="4" fillId="12" borderId="0" applyNumberFormat="0" applyBorder="0" applyAlignment="0" applyProtection="0"/>
    <xf numFmtId="0" fontId="31" fillId="4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31" fillId="41" borderId="0" applyNumberFormat="0" applyBorder="0" applyAlignment="0" applyProtection="0"/>
    <xf numFmtId="0" fontId="4" fillId="9" borderId="0" applyNumberFormat="0" applyBorder="0" applyAlignment="0" applyProtection="0"/>
    <xf numFmtId="0" fontId="31" fillId="4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31" fillId="42" borderId="0" applyNumberFormat="0" applyBorder="0" applyAlignment="0" applyProtection="0"/>
    <xf numFmtId="0" fontId="4" fillId="10" borderId="0" applyNumberFormat="0" applyBorder="0" applyAlignment="0" applyProtection="0"/>
    <xf numFmtId="0" fontId="31" fillId="43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31" fillId="43" borderId="0" applyNumberFormat="0" applyBorder="0" applyAlignment="0" applyProtection="0"/>
    <xf numFmtId="0" fontId="4" fillId="13" borderId="0" applyNumberFormat="0" applyBorder="0" applyAlignment="0" applyProtection="0"/>
    <xf numFmtId="0" fontId="31" fillId="44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31" fillId="44" borderId="0" applyNumberFormat="0" applyBorder="0" applyAlignment="0" applyProtection="0"/>
    <xf numFmtId="0" fontId="4" fillId="14" borderId="0" applyNumberFormat="0" applyBorder="0" applyAlignment="0" applyProtection="0"/>
    <xf numFmtId="0" fontId="31" fillId="45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31" fillId="45" borderId="0" applyNumberFormat="0" applyBorder="0" applyAlignment="0" applyProtection="0"/>
    <xf numFmtId="0" fontId="4" fillId="15" borderId="0" applyNumberFormat="0" applyBorder="0" applyAlignment="0" applyProtection="0"/>
    <xf numFmtId="0" fontId="31" fillId="46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31" fillId="46" borderId="0" applyNumberFormat="0" applyBorder="0" applyAlignment="0" applyProtection="0"/>
    <xf numFmtId="0" fontId="4" fillId="16" borderId="0" applyNumberFormat="0" applyBorder="0" applyAlignment="0" applyProtection="0"/>
    <xf numFmtId="0" fontId="31" fillId="47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31" fillId="47" borderId="0" applyNumberFormat="0" applyBorder="0" applyAlignment="0" applyProtection="0"/>
    <xf numFmtId="0" fontId="4" fillId="17" borderId="0" applyNumberFormat="0" applyBorder="0" applyAlignment="0" applyProtection="0"/>
    <xf numFmtId="0" fontId="31" fillId="48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31" fillId="48" borderId="0" applyNumberFormat="0" applyBorder="0" applyAlignment="0" applyProtection="0"/>
    <xf numFmtId="0" fontId="4" fillId="18" borderId="0" applyNumberFormat="0" applyBorder="0" applyAlignment="0" applyProtection="0"/>
    <xf numFmtId="0" fontId="31" fillId="49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31" fillId="49" borderId="0" applyNumberFormat="0" applyBorder="0" applyAlignment="0" applyProtection="0"/>
    <xf numFmtId="0" fontId="4" fillId="13" borderId="0" applyNumberFormat="0" applyBorder="0" applyAlignment="0" applyProtection="0"/>
    <xf numFmtId="0" fontId="31" fillId="5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31" fillId="50" borderId="0" applyNumberFormat="0" applyBorder="0" applyAlignment="0" applyProtection="0"/>
    <xf numFmtId="0" fontId="4" fillId="14" borderId="0" applyNumberFormat="0" applyBorder="0" applyAlignment="0" applyProtection="0"/>
    <xf numFmtId="0" fontId="31" fillId="5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31" fillId="51" borderId="0" applyNumberFormat="0" applyBorder="0" applyAlignment="0" applyProtection="0"/>
    <xf numFmtId="0" fontId="4" fillId="19" borderId="0" applyNumberFormat="0" applyBorder="0" applyAlignment="0" applyProtection="0"/>
    <xf numFmtId="0" fontId="31" fillId="52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31" fillId="52" borderId="0" applyNumberFormat="0" applyBorder="0" applyAlignment="0" applyProtection="0"/>
    <xf numFmtId="0" fontId="5" fillId="3" borderId="0" applyNumberFormat="0" applyBorder="0" applyAlignment="0" applyProtection="0"/>
    <xf numFmtId="0" fontId="32" fillId="5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32" fillId="53" borderId="0" applyNumberFormat="0" applyBorder="0" applyAlignment="0" applyProtection="0"/>
    <xf numFmtId="0" fontId="6" fillId="20" borderId="1" applyNumberFormat="0" applyAlignment="0" applyProtection="0"/>
    <xf numFmtId="0" fontId="33" fillId="54" borderId="30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33" fillId="54" borderId="30" applyNumberFormat="0" applyAlignment="0" applyProtection="0"/>
    <xf numFmtId="0" fontId="7" fillId="21" borderId="2" applyNumberFormat="0" applyAlignment="0" applyProtection="0"/>
    <xf numFmtId="0" fontId="34" fillId="55" borderId="31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34" fillId="55" borderId="31" applyNumberFormat="0" applyAlignment="0" applyProtection="0"/>
    <xf numFmtId="164" fontId="29" fillId="0" borderId="0" applyFont="0" applyFill="0" applyBorder="0" applyAlignment="0" applyProtection="0"/>
    <xf numFmtId="164" fontId="30" fillId="0" borderId="0" applyFont="0" applyFill="0" applyBorder="0" applyAlignment="0" applyProtection="0"/>
    <xf numFmtId="0" fontId="8" fillId="22" borderId="3" applyNumberFormat="0" applyFont="0" applyBorder="0" applyAlignment="0" applyProtection="0">
      <alignment horizontal="centerContinuous"/>
    </xf>
    <xf numFmtId="0" fontId="9" fillId="23" borderId="4" applyNumberFormat="0" applyBorder="0">
      <alignment horizontal="left"/>
    </xf>
    <xf numFmtId="0" fontId="10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36" fillId="56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36" fillId="56" borderId="0" applyNumberFormat="0" applyBorder="0" applyAlignment="0" applyProtection="0"/>
    <xf numFmtId="0" fontId="12" fillId="24" borderId="5" applyNumberFormat="0" applyFont="0" applyBorder="0" applyAlignment="0">
      <alignment horizontal="centerContinuous"/>
    </xf>
    <xf numFmtId="0" fontId="13" fillId="0" borderId="6" applyNumberFormat="0" applyFill="0" applyAlignment="0" applyProtection="0"/>
    <xf numFmtId="0" fontId="37" fillId="0" borderId="32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37" fillId="0" borderId="32" applyNumberFormat="0" applyFill="0" applyAlignment="0" applyProtection="0"/>
    <xf numFmtId="0" fontId="14" fillId="0" borderId="7" applyNumberFormat="0" applyFill="0" applyAlignment="0" applyProtection="0"/>
    <xf numFmtId="0" fontId="38" fillId="0" borderId="33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38" fillId="0" borderId="33" applyNumberFormat="0" applyFill="0" applyAlignment="0" applyProtection="0"/>
    <xf numFmtId="0" fontId="15" fillId="0" borderId="8" applyNumberFormat="0" applyFill="0" applyAlignment="0" applyProtection="0"/>
    <xf numFmtId="0" fontId="39" fillId="0" borderId="34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39" fillId="0" borderId="34" applyNumberFormat="0" applyFill="0" applyAlignment="0" applyProtection="0"/>
    <xf numFmtId="0" fontId="15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6" fillId="7" borderId="1" applyNumberFormat="0" applyAlignment="0" applyProtection="0"/>
    <xf numFmtId="0" fontId="40" fillId="57" borderId="30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40" fillId="57" borderId="30" applyNumberFormat="0" applyAlignment="0" applyProtection="0"/>
    <xf numFmtId="0" fontId="17" fillId="0" borderId="9" applyNumberFormat="0" applyFill="0" applyAlignment="0" applyProtection="0"/>
    <xf numFmtId="0" fontId="41" fillId="0" borderId="35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41" fillId="0" borderId="35" applyNumberFormat="0" applyFill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9" fontId="2" fillId="0" borderId="0">
      <alignment horizontal="right"/>
    </xf>
    <xf numFmtId="169" fontId="29" fillId="0" borderId="0">
      <alignment horizontal="right"/>
    </xf>
    <xf numFmtId="169" fontId="29" fillId="0" borderId="0">
      <alignment horizontal="right"/>
    </xf>
    <xf numFmtId="169" fontId="29" fillId="0" borderId="0">
      <alignment horizontal="right"/>
    </xf>
    <xf numFmtId="0" fontId="18" fillId="25" borderId="0" applyNumberFormat="0" applyBorder="0" applyAlignment="0" applyProtection="0"/>
    <xf numFmtId="0" fontId="42" fillId="58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42" fillId="58" borderId="0" applyNumberFormat="0" applyBorder="0" applyAlignment="0" applyProtection="0"/>
    <xf numFmtId="0" fontId="29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" fillId="0" borderId="0"/>
    <xf numFmtId="0" fontId="3" fillId="26" borderId="10" applyNumberFormat="0" applyFont="0" applyAlignment="0" applyProtection="0"/>
    <xf numFmtId="0" fontId="30" fillId="59" borderId="36" applyNumberFormat="0" applyFont="0" applyAlignment="0" applyProtection="0"/>
    <xf numFmtId="0" fontId="3" fillId="26" borderId="10" applyNumberFormat="0" applyFont="0" applyAlignment="0" applyProtection="0"/>
    <xf numFmtId="0" fontId="3" fillId="26" borderId="10" applyNumberFormat="0" applyFont="0" applyAlignment="0" applyProtection="0"/>
    <xf numFmtId="0" fontId="30" fillId="59" borderId="36" applyNumberFormat="0" applyFont="0" applyAlignment="0" applyProtection="0"/>
    <xf numFmtId="0" fontId="19" fillId="20" borderId="11" applyNumberFormat="0" applyAlignment="0" applyProtection="0"/>
    <xf numFmtId="0" fontId="43" fillId="54" borderId="37" applyNumberFormat="0" applyAlignment="0" applyProtection="0"/>
    <xf numFmtId="0" fontId="19" fillId="20" borderId="11" applyNumberFormat="0" applyAlignment="0" applyProtection="0"/>
    <xf numFmtId="0" fontId="19" fillId="20" borderId="11" applyNumberFormat="0" applyAlignment="0" applyProtection="0"/>
    <xf numFmtId="0" fontId="43" fillId="54" borderId="37" applyNumberFormat="0" applyAlignment="0" applyProtection="0"/>
    <xf numFmtId="9" fontId="2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20" fillId="27" borderId="12">
      <alignment horizontal="center"/>
    </xf>
    <xf numFmtId="0" fontId="2" fillId="0" borderId="0">
      <alignment horizontal="left" wrapText="1"/>
    </xf>
    <xf numFmtId="0" fontId="29" fillId="0" borderId="0">
      <alignment horizontal="left" wrapText="1"/>
    </xf>
    <xf numFmtId="0" fontId="29" fillId="0" borderId="0">
      <alignment horizontal="left" wrapText="1"/>
    </xf>
    <xf numFmtId="0" fontId="29" fillId="0" borderId="0">
      <alignment horizontal="left" wrapText="1"/>
    </xf>
    <xf numFmtId="0" fontId="21" fillId="0" borderId="0">
      <alignment horizontal="center"/>
    </xf>
    <xf numFmtId="0" fontId="2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3" fillId="0" borderId="13" applyNumberFormat="0" applyFill="0" applyAlignment="0" applyProtection="0"/>
    <xf numFmtId="0" fontId="45" fillId="0" borderId="38" applyNumberFormat="0" applyFill="0" applyAlignment="0" applyProtection="0"/>
    <xf numFmtId="0" fontId="23" fillId="0" borderId="13" applyNumberFormat="0" applyFill="0" applyAlignment="0" applyProtection="0"/>
    <xf numFmtId="0" fontId="23" fillId="0" borderId="13" applyNumberFormat="0" applyFill="0" applyAlignment="0" applyProtection="0"/>
    <xf numFmtId="0" fontId="45" fillId="0" borderId="38" applyNumberFormat="0" applyFill="0" applyAlignment="0" applyProtection="0"/>
    <xf numFmtId="0" fontId="24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5" fillId="28" borderId="0">
      <alignment horizontal="right"/>
    </xf>
    <xf numFmtId="170" fontId="2" fillId="0" borderId="0">
      <alignment horizontal="center"/>
    </xf>
    <xf numFmtId="170" fontId="29" fillId="0" borderId="0">
      <alignment horizontal="center"/>
    </xf>
    <xf numFmtId="170" fontId="29" fillId="0" borderId="0">
      <alignment horizontal="center"/>
    </xf>
    <xf numFmtId="170" fontId="29" fillId="0" borderId="0">
      <alignment horizontal="center"/>
    </xf>
    <xf numFmtId="0" fontId="2" fillId="0" borderId="0"/>
    <xf numFmtId="0" fontId="2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0" fontId="31" fillId="43" borderId="0" applyNumberFormat="0" applyBorder="0" applyAlignment="0" applyProtection="0"/>
    <xf numFmtId="0" fontId="31" fillId="44" borderId="0" applyNumberFormat="0" applyBorder="0" applyAlignment="0" applyProtection="0"/>
    <xf numFmtId="0" fontId="3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2" fillId="53" borderId="0" applyNumberFormat="0" applyBorder="0" applyAlignment="0" applyProtection="0"/>
    <xf numFmtId="0" fontId="33" fillId="54" borderId="30" applyNumberFormat="0" applyAlignment="0" applyProtection="0"/>
    <xf numFmtId="0" fontId="34" fillId="55" borderId="31" applyNumberFormat="0" applyAlignment="0" applyProtection="0"/>
    <xf numFmtId="164" fontId="2" fillId="0" borderId="0" applyFont="0" applyFill="0" applyBorder="0" applyAlignment="0" applyProtection="0"/>
    <xf numFmtId="0" fontId="8" fillId="22" borderId="3" applyNumberFormat="0" applyFont="0" applyBorder="0" applyAlignment="0" applyProtection="0">
      <alignment horizontal="centerContinuous"/>
    </xf>
    <xf numFmtId="0" fontId="8" fillId="22" borderId="3" applyNumberFormat="0" applyFont="0" applyBorder="0" applyAlignment="0" applyProtection="0">
      <alignment horizontal="centerContinuous"/>
    </xf>
    <xf numFmtId="0" fontId="9" fillId="23" borderId="4" applyNumberFormat="0" applyBorder="0">
      <alignment horizontal="left"/>
    </xf>
    <xf numFmtId="0" fontId="9" fillId="23" borderId="4" applyNumberFormat="0" applyBorder="0">
      <alignment horizontal="left"/>
    </xf>
    <xf numFmtId="0" fontId="35" fillId="0" borderId="0" applyNumberFormat="0" applyFill="0" applyBorder="0" applyAlignment="0" applyProtection="0"/>
    <xf numFmtId="0" fontId="36" fillId="56" borderId="0" applyNumberFormat="0" applyBorder="0" applyAlignment="0" applyProtection="0"/>
    <xf numFmtId="0" fontId="12" fillId="24" borderId="5" applyNumberFormat="0" applyFont="0" applyBorder="0" applyAlignment="0">
      <alignment horizontal="centerContinuous"/>
    </xf>
    <xf numFmtId="0" fontId="12" fillId="24" borderId="5" applyNumberFormat="0" applyFont="0" applyBorder="0" applyAlignment="0">
      <alignment horizontal="centerContinuous"/>
    </xf>
    <xf numFmtId="0" fontId="37" fillId="0" borderId="32" applyNumberFormat="0" applyFill="0" applyAlignment="0" applyProtection="0"/>
    <xf numFmtId="0" fontId="38" fillId="0" borderId="33" applyNumberFormat="0" applyFill="0" applyAlignment="0" applyProtection="0"/>
    <xf numFmtId="0" fontId="39" fillId="0" borderId="34" applyNumberFormat="0" applyFill="0" applyAlignment="0" applyProtection="0"/>
    <xf numFmtId="0" fontId="39" fillId="0" borderId="0" applyNumberFormat="0" applyFill="0" applyBorder="0" applyAlignment="0" applyProtection="0"/>
    <xf numFmtId="0" fontId="40" fillId="57" borderId="30" applyNumberFormat="0" applyAlignment="0" applyProtection="0"/>
    <xf numFmtId="0" fontId="41" fillId="0" borderId="35" applyNumberFormat="0" applyFill="0" applyAlignment="0" applyProtection="0"/>
    <xf numFmtId="0" fontId="42" fillId="58" borderId="0" applyNumberFormat="0" applyBorder="0" applyAlignment="0" applyProtection="0"/>
    <xf numFmtId="0" fontId="2" fillId="0" borderId="0"/>
    <xf numFmtId="0" fontId="1" fillId="59" borderId="36" applyNumberFormat="0" applyFont="0" applyAlignment="0" applyProtection="0"/>
    <xf numFmtId="0" fontId="43" fillId="54" borderId="37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>
      <alignment horizontal="center"/>
    </xf>
    <xf numFmtId="0" fontId="21" fillId="0" borderId="0">
      <alignment horizontal="center"/>
    </xf>
    <xf numFmtId="0" fontId="44" fillId="0" borderId="0" applyNumberFormat="0" applyFill="0" applyBorder="0" applyAlignment="0" applyProtection="0"/>
    <xf numFmtId="0" fontId="45" fillId="0" borderId="38" applyNumberFormat="0" applyFill="0" applyAlignment="0" applyProtection="0"/>
    <xf numFmtId="0" fontId="46" fillId="0" borderId="0" applyNumberFormat="0" applyFill="0" applyBorder="0" applyAlignment="0" applyProtection="0"/>
  </cellStyleXfs>
  <cellXfs count="115">
    <xf numFmtId="0" fontId="0" fillId="0" borderId="0" xfId="0"/>
    <xf numFmtId="0" fontId="2" fillId="27" borderId="0" xfId="199" applyFill="1"/>
    <xf numFmtId="10" fontId="0" fillId="0" borderId="0" xfId="210" applyNumberFormat="1" applyFont="1"/>
    <xf numFmtId="174" fontId="0" fillId="0" borderId="0" xfId="210" applyNumberFormat="1" applyFont="1"/>
    <xf numFmtId="10" fontId="0" fillId="0" borderId="24" xfId="210" applyNumberFormat="1" applyFont="1" applyBorder="1"/>
    <xf numFmtId="10" fontId="0" fillId="0" borderId="25" xfId="210" applyNumberFormat="1" applyFont="1" applyBorder="1"/>
    <xf numFmtId="10" fontId="0" fillId="0" borderId="0" xfId="210" applyNumberFormat="1" applyFont="1" applyFill="1" applyBorder="1"/>
    <xf numFmtId="10" fontId="0" fillId="0" borderId="26" xfId="210" applyNumberFormat="1" applyFont="1" applyBorder="1"/>
    <xf numFmtId="174" fontId="0" fillId="0" borderId="0" xfId="210" applyNumberFormat="1" applyFont="1" applyProtection="1">
      <protection locked="0"/>
    </xf>
    <xf numFmtId="0" fontId="2" fillId="0" borderId="0" xfId="241" applyFont="1"/>
    <xf numFmtId="0" fontId="2" fillId="0" borderId="0" xfId="241"/>
    <xf numFmtId="0" fontId="2" fillId="0" borderId="0" xfId="241" applyProtection="1">
      <protection locked="0"/>
    </xf>
    <xf numFmtId="2" fontId="2" fillId="0" borderId="0" xfId="241" applyNumberFormat="1" applyBorder="1"/>
    <xf numFmtId="0" fontId="2" fillId="0" borderId="0" xfId="241" applyBorder="1"/>
    <xf numFmtId="173" fontId="2" fillId="0" borderId="25" xfId="241" applyNumberFormat="1" applyBorder="1"/>
    <xf numFmtId="173" fontId="2" fillId="0" borderId="23" xfId="241" applyNumberFormat="1" applyBorder="1"/>
    <xf numFmtId="2" fontId="2" fillId="0" borderId="25" xfId="241" applyNumberFormat="1" applyBorder="1"/>
    <xf numFmtId="0" fontId="2" fillId="0" borderId="16" xfId="241" applyBorder="1"/>
    <xf numFmtId="173" fontId="2" fillId="0" borderId="0" xfId="241" applyNumberFormat="1"/>
    <xf numFmtId="173" fontId="2" fillId="0" borderId="24" xfId="241" applyNumberFormat="1" applyBorder="1"/>
    <xf numFmtId="173" fontId="2" fillId="0" borderId="0" xfId="241" applyNumberFormat="1" applyBorder="1"/>
    <xf numFmtId="2" fontId="2" fillId="0" borderId="24" xfId="241" applyNumberFormat="1" applyBorder="1"/>
    <xf numFmtId="0" fontId="2" fillId="0" borderId="15" xfId="241" applyBorder="1"/>
    <xf numFmtId="10" fontId="27" fillId="0" borderId="29" xfId="241" applyNumberFormat="1" applyFont="1" applyBorder="1"/>
    <xf numFmtId="0" fontId="2" fillId="0" borderId="16" xfId="241" applyFill="1" applyBorder="1"/>
    <xf numFmtId="171" fontId="27" fillId="0" borderId="28" xfId="210" applyNumberFormat="1" applyFont="1" applyBorder="1"/>
    <xf numFmtId="0" fontId="2" fillId="0" borderId="15" xfId="241" applyFont="1" applyBorder="1"/>
    <xf numFmtId="2" fontId="27" fillId="0" borderId="28" xfId="241" applyNumberFormat="1" applyFont="1" applyBorder="1"/>
    <xf numFmtId="171" fontId="27" fillId="0" borderId="27" xfId="210" applyNumberFormat="1" applyFont="1" applyBorder="1"/>
    <xf numFmtId="0" fontId="2" fillId="0" borderId="14" xfId="241" applyBorder="1"/>
    <xf numFmtId="2" fontId="2" fillId="0" borderId="0" xfId="241" applyNumberFormat="1"/>
    <xf numFmtId="0" fontId="2" fillId="0" borderId="21" xfId="241" applyBorder="1"/>
    <xf numFmtId="0" fontId="2" fillId="0" borderId="22" xfId="241" applyBorder="1"/>
    <xf numFmtId="0" fontId="2" fillId="0" borderId="20" xfId="241" applyBorder="1"/>
    <xf numFmtId="0" fontId="2" fillId="0" borderId="19" xfId="241" applyBorder="1"/>
    <xf numFmtId="173" fontId="2" fillId="27" borderId="0" xfId="199" applyNumberFormat="1" applyFill="1"/>
    <xf numFmtId="174" fontId="2" fillId="27" borderId="0" xfId="210" applyNumberFormat="1" applyFill="1"/>
    <xf numFmtId="174" fontId="2" fillId="0" borderId="0" xfId="210" applyNumberFormat="1"/>
    <xf numFmtId="182" fontId="0" fillId="0" borderId="24" xfId="210" applyNumberFormat="1" applyFont="1" applyBorder="1"/>
    <xf numFmtId="183" fontId="2" fillId="0" borderId="0" xfId="241" applyNumberFormat="1"/>
    <xf numFmtId="0" fontId="2" fillId="60" borderId="22" xfId="241" applyFill="1" applyBorder="1"/>
    <xf numFmtId="173" fontId="2" fillId="60" borderId="24" xfId="241" applyNumberFormat="1" applyFill="1" applyBorder="1"/>
    <xf numFmtId="184" fontId="0" fillId="0" borderId="17" xfId="210" applyNumberFormat="1" applyFont="1" applyBorder="1"/>
    <xf numFmtId="184" fontId="0" fillId="0" borderId="18" xfId="210" applyNumberFormat="1" applyFont="1" applyBorder="1"/>
    <xf numFmtId="0" fontId="2" fillId="60" borderId="0" xfId="241" applyFill="1" applyAlignment="1">
      <alignment horizontal="center" vertical="center"/>
    </xf>
    <xf numFmtId="174" fontId="2" fillId="0" borderId="0" xfId="241" applyNumberFormat="1"/>
    <xf numFmtId="173" fontId="2" fillId="0" borderId="4" xfId="241" applyNumberFormat="1" applyBorder="1"/>
    <xf numFmtId="173" fontId="2" fillId="0" borderId="39" xfId="241" applyNumberFormat="1" applyBorder="1"/>
    <xf numFmtId="181" fontId="2" fillId="0" borderId="40" xfId="241" applyNumberFormat="1" applyBorder="1"/>
    <xf numFmtId="173" fontId="2" fillId="0" borderId="12" xfId="241" applyNumberFormat="1" applyBorder="1"/>
    <xf numFmtId="173" fontId="2" fillId="0" borderId="26" xfId="241" applyNumberFormat="1" applyBorder="1"/>
    <xf numFmtId="173" fontId="2" fillId="0" borderId="3" xfId="241" applyNumberFormat="1" applyBorder="1"/>
    <xf numFmtId="173" fontId="2" fillId="0" borderId="41" xfId="241" applyNumberFormat="1" applyBorder="1"/>
    <xf numFmtId="173" fontId="2" fillId="0" borderId="42" xfId="241" applyNumberFormat="1" applyBorder="1"/>
    <xf numFmtId="0" fontId="2" fillId="0" borderId="43" xfId="241" applyBorder="1" applyAlignment="1">
      <alignment horizontal="right"/>
    </xf>
    <xf numFmtId="0" fontId="2" fillId="0" borderId="44" xfId="241" applyBorder="1" applyAlignment="1">
      <alignment horizontal="right"/>
    </xf>
    <xf numFmtId="173" fontId="2" fillId="0" borderId="40" xfId="241" applyNumberFormat="1" applyBorder="1"/>
    <xf numFmtId="0" fontId="26" fillId="0" borderId="19" xfId="241" applyFont="1" applyBorder="1" applyAlignment="1">
      <alignment horizontal="center"/>
    </xf>
    <xf numFmtId="0" fontId="26" fillId="0" borderId="21" xfId="241" applyFont="1" applyBorder="1" applyAlignment="1">
      <alignment horizontal="center"/>
    </xf>
    <xf numFmtId="0" fontId="48" fillId="27" borderId="0" xfId="199" applyFont="1" applyFill="1"/>
    <xf numFmtId="0" fontId="48" fillId="0" borderId="0" xfId="241" applyFont="1"/>
    <xf numFmtId="173" fontId="48" fillId="27" borderId="0" xfId="199" applyNumberFormat="1" applyFont="1" applyFill="1"/>
    <xf numFmtId="174" fontId="48" fillId="27" borderId="0" xfId="210" applyNumberFormat="1" applyFont="1" applyFill="1"/>
    <xf numFmtId="174" fontId="48" fillId="0" borderId="0" xfId="210" applyNumberFormat="1" applyFont="1"/>
    <xf numFmtId="0" fontId="48" fillId="60" borderId="0" xfId="241" applyFont="1" applyFill="1" applyAlignment="1">
      <alignment horizontal="center" vertical="center"/>
    </xf>
    <xf numFmtId="0" fontId="49" fillId="0" borderId="19" xfId="241" applyFont="1" applyBorder="1" applyAlignment="1">
      <alignment horizontal="center"/>
    </xf>
    <xf numFmtId="0" fontId="49" fillId="0" borderId="21" xfId="241" applyFont="1" applyBorder="1" applyAlignment="1">
      <alignment horizontal="center"/>
    </xf>
    <xf numFmtId="0" fontId="48" fillId="0" borderId="19" xfId="241" applyFont="1" applyBorder="1"/>
    <xf numFmtId="0" fontId="48" fillId="0" borderId="22" xfId="241" applyFont="1" applyBorder="1"/>
    <xf numFmtId="0" fontId="48" fillId="0" borderId="20" xfId="241" applyFont="1" applyBorder="1"/>
    <xf numFmtId="0" fontId="48" fillId="60" borderId="22" xfId="241" applyFont="1" applyFill="1" applyBorder="1"/>
    <xf numFmtId="0" fontId="48" fillId="0" borderId="21" xfId="241" applyFont="1" applyBorder="1"/>
    <xf numFmtId="2" fontId="48" fillId="0" borderId="0" xfId="241" applyNumberFormat="1" applyFont="1"/>
    <xf numFmtId="0" fontId="48" fillId="0" borderId="14" xfId="241" applyFont="1" applyBorder="1"/>
    <xf numFmtId="171" fontId="50" fillId="0" borderId="27" xfId="210" applyNumberFormat="1" applyFont="1" applyBorder="1"/>
    <xf numFmtId="0" fontId="48" fillId="0" borderId="15" xfId="241" applyFont="1" applyBorder="1"/>
    <xf numFmtId="2" fontId="48" fillId="0" borderId="24" xfId="241" applyNumberFormat="1" applyFont="1" applyBorder="1"/>
    <xf numFmtId="10" fontId="48" fillId="0" borderId="24" xfId="210" applyNumberFormat="1" applyFont="1" applyBorder="1"/>
    <xf numFmtId="173" fontId="48" fillId="0" borderId="0" xfId="241" applyNumberFormat="1" applyFont="1" applyBorder="1"/>
    <xf numFmtId="173" fontId="48" fillId="60" borderId="24" xfId="241" applyNumberFormat="1" applyFont="1" applyFill="1" applyBorder="1"/>
    <xf numFmtId="184" fontId="48" fillId="0" borderId="17" xfId="210" applyNumberFormat="1" applyFont="1" applyBorder="1"/>
    <xf numFmtId="185" fontId="48" fillId="0" borderId="0" xfId="241" applyNumberFormat="1" applyFont="1"/>
    <xf numFmtId="173" fontId="48" fillId="0" borderId="4" xfId="241" applyNumberFormat="1" applyFont="1" applyBorder="1"/>
    <xf numFmtId="173" fontId="48" fillId="0" borderId="39" xfId="241" applyNumberFormat="1" applyFont="1" applyBorder="1"/>
    <xf numFmtId="181" fontId="48" fillId="0" borderId="40" xfId="241" applyNumberFormat="1" applyFont="1" applyBorder="1"/>
    <xf numFmtId="2" fontId="50" fillId="0" borderId="28" xfId="241" applyNumberFormat="1" applyFont="1" applyBorder="1"/>
    <xf numFmtId="182" fontId="48" fillId="0" borderId="24" xfId="210" applyNumberFormat="1" applyFont="1" applyBorder="1"/>
    <xf numFmtId="173" fontId="48" fillId="0" borderId="12" xfId="241" applyNumberFormat="1" applyFont="1" applyBorder="1"/>
    <xf numFmtId="173" fontId="48" fillId="0" borderId="26" xfId="241" applyNumberFormat="1" applyFont="1" applyBorder="1"/>
    <xf numFmtId="171" fontId="50" fillId="0" borderId="28" xfId="210" applyNumberFormat="1" applyFont="1" applyBorder="1"/>
    <xf numFmtId="173" fontId="48" fillId="0" borderId="24" xfId="241" applyNumberFormat="1" applyFont="1" applyBorder="1"/>
    <xf numFmtId="0" fontId="48" fillId="0" borderId="16" xfId="241" applyFont="1" applyFill="1" applyBorder="1"/>
    <xf numFmtId="10" fontId="50" fillId="0" borderId="29" xfId="241" applyNumberFormat="1" applyFont="1" applyBorder="1"/>
    <xf numFmtId="0" fontId="48" fillId="0" borderId="0" xfId="241" applyFont="1" applyBorder="1"/>
    <xf numFmtId="10" fontId="48" fillId="0" borderId="26" xfId="210" applyNumberFormat="1" applyFont="1" applyBorder="1"/>
    <xf numFmtId="173" fontId="48" fillId="0" borderId="0" xfId="241" applyNumberFormat="1" applyFont="1"/>
    <xf numFmtId="173" fontId="48" fillId="0" borderId="3" xfId="241" applyNumberFormat="1" applyFont="1" applyBorder="1"/>
    <xf numFmtId="173" fontId="48" fillId="0" borderId="41" xfId="241" applyNumberFormat="1" applyFont="1" applyBorder="1"/>
    <xf numFmtId="173" fontId="48" fillId="0" borderId="42" xfId="241" applyNumberFormat="1" applyFont="1" applyBorder="1"/>
    <xf numFmtId="0" fontId="48" fillId="0" borderId="16" xfId="241" applyFont="1" applyBorder="1"/>
    <xf numFmtId="2" fontId="48" fillId="0" borderId="25" xfId="241" applyNumberFormat="1" applyFont="1" applyBorder="1"/>
    <xf numFmtId="10" fontId="48" fillId="0" borderId="25" xfId="210" applyNumberFormat="1" applyFont="1" applyBorder="1"/>
    <xf numFmtId="173" fontId="48" fillId="0" borderId="23" xfId="241" applyNumberFormat="1" applyFont="1" applyBorder="1"/>
    <xf numFmtId="173" fontId="48" fillId="0" borderId="25" xfId="241" applyNumberFormat="1" applyFont="1" applyBorder="1"/>
    <xf numFmtId="184" fontId="48" fillId="0" borderId="18" xfId="210" applyNumberFormat="1" applyFont="1" applyBorder="1"/>
    <xf numFmtId="0" fontId="48" fillId="0" borderId="43" xfId="241" applyFont="1" applyBorder="1" applyAlignment="1">
      <alignment horizontal="right"/>
    </xf>
    <xf numFmtId="173" fontId="48" fillId="0" borderId="40" xfId="241" applyNumberFormat="1" applyFont="1" applyBorder="1"/>
    <xf numFmtId="0" fontId="48" fillId="0" borderId="44" xfId="241" applyFont="1" applyBorder="1" applyAlignment="1">
      <alignment horizontal="right"/>
    </xf>
    <xf numFmtId="10" fontId="48" fillId="0" borderId="0" xfId="210" applyNumberFormat="1" applyFont="1" applyFill="1" applyBorder="1"/>
    <xf numFmtId="174" fontId="48" fillId="0" borderId="0" xfId="241" applyNumberFormat="1" applyFont="1"/>
    <xf numFmtId="2" fontId="48" fillId="0" borderId="0" xfId="241" applyNumberFormat="1" applyFont="1" applyBorder="1"/>
    <xf numFmtId="10" fontId="48" fillId="0" borderId="0" xfId="210" applyNumberFormat="1" applyFont="1"/>
    <xf numFmtId="174" fontId="48" fillId="0" borderId="0" xfId="210" applyNumberFormat="1" applyFont="1" applyProtection="1">
      <protection locked="0"/>
    </xf>
    <xf numFmtId="0" fontId="48" fillId="0" borderId="0" xfId="241" applyFont="1" applyProtection="1">
      <protection locked="0"/>
    </xf>
    <xf numFmtId="183" fontId="48" fillId="0" borderId="0" xfId="241" applyNumberFormat="1" applyFont="1"/>
  </cellXfs>
  <cellStyles count="298">
    <cellStyle name="20% - Accent1" xfId="1" builtinId="30" customBuiltin="1"/>
    <cellStyle name="20% - Accent1 2" xfId="2" xr:uid="{00000000-0005-0000-0000-000001000000}"/>
    <cellStyle name="20% - Accent1 2 2" xfId="3" xr:uid="{00000000-0005-0000-0000-000002000000}"/>
    <cellStyle name="20% - Accent1 2 3" xfId="245" xr:uid="{00000000-0005-0000-0000-000003000000}"/>
    <cellStyle name="20% - Accent1 3" xfId="4" xr:uid="{00000000-0005-0000-0000-000004000000}"/>
    <cellStyle name="20% - Accent1 4" xfId="5" xr:uid="{00000000-0005-0000-0000-000005000000}"/>
    <cellStyle name="20% - Accent2" xfId="6" builtinId="34" customBuiltin="1"/>
    <cellStyle name="20% - Accent2 2" xfId="7" xr:uid="{00000000-0005-0000-0000-000007000000}"/>
    <cellStyle name="20% - Accent2 2 2" xfId="8" xr:uid="{00000000-0005-0000-0000-000008000000}"/>
    <cellStyle name="20% - Accent2 2 3" xfId="246" xr:uid="{00000000-0005-0000-0000-000009000000}"/>
    <cellStyle name="20% - Accent2 3" xfId="9" xr:uid="{00000000-0005-0000-0000-00000A000000}"/>
    <cellStyle name="20% - Accent2 4" xfId="10" xr:uid="{00000000-0005-0000-0000-00000B000000}"/>
    <cellStyle name="20% - Accent3" xfId="11" builtinId="38" customBuiltin="1"/>
    <cellStyle name="20% - Accent3 2" xfId="12" xr:uid="{00000000-0005-0000-0000-00000D000000}"/>
    <cellStyle name="20% - Accent3 2 2" xfId="13" xr:uid="{00000000-0005-0000-0000-00000E000000}"/>
    <cellStyle name="20% - Accent3 2 3" xfId="247" xr:uid="{00000000-0005-0000-0000-00000F000000}"/>
    <cellStyle name="20% - Accent3 3" xfId="14" xr:uid="{00000000-0005-0000-0000-000010000000}"/>
    <cellStyle name="20% - Accent3 4" xfId="15" xr:uid="{00000000-0005-0000-0000-000011000000}"/>
    <cellStyle name="20% - Accent4" xfId="16" builtinId="42" customBuiltin="1"/>
    <cellStyle name="20% - Accent4 2" xfId="17" xr:uid="{00000000-0005-0000-0000-000013000000}"/>
    <cellStyle name="20% - Accent4 2 2" xfId="18" xr:uid="{00000000-0005-0000-0000-000014000000}"/>
    <cellStyle name="20% - Accent4 2 3" xfId="248" xr:uid="{00000000-0005-0000-0000-000015000000}"/>
    <cellStyle name="20% - Accent4 3" xfId="19" xr:uid="{00000000-0005-0000-0000-000016000000}"/>
    <cellStyle name="20% - Accent4 4" xfId="20" xr:uid="{00000000-0005-0000-0000-000017000000}"/>
    <cellStyle name="20% - Accent5" xfId="21" builtinId="46" customBuiltin="1"/>
    <cellStyle name="20% - Accent5 2" xfId="22" xr:uid="{00000000-0005-0000-0000-000019000000}"/>
    <cellStyle name="20% - Accent5 2 2" xfId="23" xr:uid="{00000000-0005-0000-0000-00001A000000}"/>
    <cellStyle name="20% - Accent5 2 3" xfId="249" xr:uid="{00000000-0005-0000-0000-00001B000000}"/>
    <cellStyle name="20% - Accent5 3" xfId="24" xr:uid="{00000000-0005-0000-0000-00001C000000}"/>
    <cellStyle name="20% - Accent5 4" xfId="25" xr:uid="{00000000-0005-0000-0000-00001D000000}"/>
    <cellStyle name="20% - Accent6" xfId="26" builtinId="50" customBuiltin="1"/>
    <cellStyle name="20% - Accent6 2" xfId="27" xr:uid="{00000000-0005-0000-0000-00001F000000}"/>
    <cellStyle name="20% - Accent6 2 2" xfId="28" xr:uid="{00000000-0005-0000-0000-000020000000}"/>
    <cellStyle name="20% - Accent6 2 3" xfId="250" xr:uid="{00000000-0005-0000-0000-000021000000}"/>
    <cellStyle name="20% - Accent6 3" xfId="29" xr:uid="{00000000-0005-0000-0000-000022000000}"/>
    <cellStyle name="20% - Accent6 4" xfId="30" xr:uid="{00000000-0005-0000-0000-000023000000}"/>
    <cellStyle name="40% - Accent1" xfId="31" builtinId="31" customBuiltin="1"/>
    <cellStyle name="40% - Accent1 2" xfId="32" xr:uid="{00000000-0005-0000-0000-000025000000}"/>
    <cellStyle name="40% - Accent1 2 2" xfId="33" xr:uid="{00000000-0005-0000-0000-000026000000}"/>
    <cellStyle name="40% - Accent1 2 3" xfId="251" xr:uid="{00000000-0005-0000-0000-000027000000}"/>
    <cellStyle name="40% - Accent1 3" xfId="34" xr:uid="{00000000-0005-0000-0000-000028000000}"/>
    <cellStyle name="40% - Accent1 4" xfId="35" xr:uid="{00000000-0005-0000-0000-000029000000}"/>
    <cellStyle name="40% - Accent2" xfId="36" builtinId="35" customBuiltin="1"/>
    <cellStyle name="40% - Accent2 2" xfId="37" xr:uid="{00000000-0005-0000-0000-00002B000000}"/>
    <cellStyle name="40% - Accent2 2 2" xfId="38" xr:uid="{00000000-0005-0000-0000-00002C000000}"/>
    <cellStyle name="40% - Accent2 2 3" xfId="252" xr:uid="{00000000-0005-0000-0000-00002D000000}"/>
    <cellStyle name="40% - Accent2 3" xfId="39" xr:uid="{00000000-0005-0000-0000-00002E000000}"/>
    <cellStyle name="40% - Accent2 4" xfId="40" xr:uid="{00000000-0005-0000-0000-00002F000000}"/>
    <cellStyle name="40% - Accent3" xfId="41" builtinId="39" customBuiltin="1"/>
    <cellStyle name="40% - Accent3 2" xfId="42" xr:uid="{00000000-0005-0000-0000-000031000000}"/>
    <cellStyle name="40% - Accent3 2 2" xfId="43" xr:uid="{00000000-0005-0000-0000-000032000000}"/>
    <cellStyle name="40% - Accent3 2 3" xfId="253" xr:uid="{00000000-0005-0000-0000-000033000000}"/>
    <cellStyle name="40% - Accent3 3" xfId="44" xr:uid="{00000000-0005-0000-0000-000034000000}"/>
    <cellStyle name="40% - Accent3 4" xfId="45" xr:uid="{00000000-0005-0000-0000-000035000000}"/>
    <cellStyle name="40% - Accent4" xfId="46" builtinId="43" customBuiltin="1"/>
    <cellStyle name="40% - Accent4 2" xfId="47" xr:uid="{00000000-0005-0000-0000-000037000000}"/>
    <cellStyle name="40% - Accent4 2 2" xfId="48" xr:uid="{00000000-0005-0000-0000-000038000000}"/>
    <cellStyle name="40% - Accent4 2 3" xfId="254" xr:uid="{00000000-0005-0000-0000-000039000000}"/>
    <cellStyle name="40% - Accent4 3" xfId="49" xr:uid="{00000000-0005-0000-0000-00003A000000}"/>
    <cellStyle name="40% - Accent4 4" xfId="50" xr:uid="{00000000-0005-0000-0000-00003B000000}"/>
    <cellStyle name="40% - Accent5" xfId="51" builtinId="47" customBuiltin="1"/>
    <cellStyle name="40% - Accent5 2" xfId="52" xr:uid="{00000000-0005-0000-0000-00003D000000}"/>
    <cellStyle name="40% - Accent5 2 2" xfId="53" xr:uid="{00000000-0005-0000-0000-00003E000000}"/>
    <cellStyle name="40% - Accent5 2 3" xfId="255" xr:uid="{00000000-0005-0000-0000-00003F000000}"/>
    <cellStyle name="40% - Accent5 3" xfId="54" xr:uid="{00000000-0005-0000-0000-000040000000}"/>
    <cellStyle name="40% - Accent5 4" xfId="55" xr:uid="{00000000-0005-0000-0000-000041000000}"/>
    <cellStyle name="40% - Accent6" xfId="56" builtinId="51" customBuiltin="1"/>
    <cellStyle name="40% - Accent6 2" xfId="57" xr:uid="{00000000-0005-0000-0000-000043000000}"/>
    <cellStyle name="40% - Accent6 2 2" xfId="58" xr:uid="{00000000-0005-0000-0000-000044000000}"/>
    <cellStyle name="40% - Accent6 2 3" xfId="256" xr:uid="{00000000-0005-0000-0000-000045000000}"/>
    <cellStyle name="40% - Accent6 3" xfId="59" xr:uid="{00000000-0005-0000-0000-000046000000}"/>
    <cellStyle name="40% - Accent6 4" xfId="60" xr:uid="{00000000-0005-0000-0000-000047000000}"/>
    <cellStyle name="60% - Accent1" xfId="61" builtinId="32" customBuiltin="1"/>
    <cellStyle name="60% - Accent1 2" xfId="62" xr:uid="{00000000-0005-0000-0000-000049000000}"/>
    <cellStyle name="60% - Accent1 2 2" xfId="63" xr:uid="{00000000-0005-0000-0000-00004A000000}"/>
    <cellStyle name="60% - Accent1 2 3" xfId="257" xr:uid="{00000000-0005-0000-0000-00004B000000}"/>
    <cellStyle name="60% - Accent1 3" xfId="64" xr:uid="{00000000-0005-0000-0000-00004C000000}"/>
    <cellStyle name="60% - Accent1 4" xfId="65" xr:uid="{00000000-0005-0000-0000-00004D000000}"/>
    <cellStyle name="60% - Accent2" xfId="66" builtinId="36" customBuiltin="1"/>
    <cellStyle name="60% - Accent2 2" xfId="67" xr:uid="{00000000-0005-0000-0000-00004F000000}"/>
    <cellStyle name="60% - Accent2 2 2" xfId="68" xr:uid="{00000000-0005-0000-0000-000050000000}"/>
    <cellStyle name="60% - Accent2 2 3" xfId="258" xr:uid="{00000000-0005-0000-0000-000051000000}"/>
    <cellStyle name="60% - Accent2 3" xfId="69" xr:uid="{00000000-0005-0000-0000-000052000000}"/>
    <cellStyle name="60% - Accent2 4" xfId="70" xr:uid="{00000000-0005-0000-0000-000053000000}"/>
    <cellStyle name="60% - Accent3" xfId="71" builtinId="40" customBuiltin="1"/>
    <cellStyle name="60% - Accent3 2" xfId="72" xr:uid="{00000000-0005-0000-0000-000055000000}"/>
    <cellStyle name="60% - Accent3 2 2" xfId="73" xr:uid="{00000000-0005-0000-0000-000056000000}"/>
    <cellStyle name="60% - Accent3 2 3" xfId="259" xr:uid="{00000000-0005-0000-0000-000057000000}"/>
    <cellStyle name="60% - Accent3 3" xfId="74" xr:uid="{00000000-0005-0000-0000-000058000000}"/>
    <cellStyle name="60% - Accent3 4" xfId="75" xr:uid="{00000000-0005-0000-0000-000059000000}"/>
    <cellStyle name="60% - Accent4" xfId="76" builtinId="44" customBuiltin="1"/>
    <cellStyle name="60% - Accent4 2" xfId="77" xr:uid="{00000000-0005-0000-0000-00005B000000}"/>
    <cellStyle name="60% - Accent4 2 2" xfId="78" xr:uid="{00000000-0005-0000-0000-00005C000000}"/>
    <cellStyle name="60% - Accent4 2 3" xfId="260" xr:uid="{00000000-0005-0000-0000-00005D000000}"/>
    <cellStyle name="60% - Accent4 3" xfId="79" xr:uid="{00000000-0005-0000-0000-00005E000000}"/>
    <cellStyle name="60% - Accent4 4" xfId="80" xr:uid="{00000000-0005-0000-0000-00005F000000}"/>
    <cellStyle name="60% - Accent5" xfId="81" builtinId="48" customBuiltin="1"/>
    <cellStyle name="60% - Accent5 2" xfId="82" xr:uid="{00000000-0005-0000-0000-000061000000}"/>
    <cellStyle name="60% - Accent5 2 2" xfId="83" xr:uid="{00000000-0005-0000-0000-000062000000}"/>
    <cellStyle name="60% - Accent5 2 3" xfId="261" xr:uid="{00000000-0005-0000-0000-000063000000}"/>
    <cellStyle name="60% - Accent5 3" xfId="84" xr:uid="{00000000-0005-0000-0000-000064000000}"/>
    <cellStyle name="60% - Accent5 4" xfId="85" xr:uid="{00000000-0005-0000-0000-000065000000}"/>
    <cellStyle name="60% - Accent6" xfId="86" builtinId="52" customBuiltin="1"/>
    <cellStyle name="60% - Accent6 2" xfId="87" xr:uid="{00000000-0005-0000-0000-000067000000}"/>
    <cellStyle name="60% - Accent6 2 2" xfId="88" xr:uid="{00000000-0005-0000-0000-000068000000}"/>
    <cellStyle name="60% - Accent6 2 3" xfId="262" xr:uid="{00000000-0005-0000-0000-000069000000}"/>
    <cellStyle name="60% - Accent6 3" xfId="89" xr:uid="{00000000-0005-0000-0000-00006A000000}"/>
    <cellStyle name="60% - Accent6 4" xfId="90" xr:uid="{00000000-0005-0000-0000-00006B000000}"/>
    <cellStyle name="Accent1" xfId="91" builtinId="29" customBuiltin="1"/>
    <cellStyle name="Accent1 2" xfId="92" xr:uid="{00000000-0005-0000-0000-00006D000000}"/>
    <cellStyle name="Accent1 2 2" xfId="93" xr:uid="{00000000-0005-0000-0000-00006E000000}"/>
    <cellStyle name="Accent1 2 3" xfId="263" xr:uid="{00000000-0005-0000-0000-00006F000000}"/>
    <cellStyle name="Accent1 3" xfId="94" xr:uid="{00000000-0005-0000-0000-000070000000}"/>
    <cellStyle name="Accent1 4" xfId="95" xr:uid="{00000000-0005-0000-0000-000071000000}"/>
    <cellStyle name="Accent2" xfId="96" builtinId="33" customBuiltin="1"/>
    <cellStyle name="Accent2 2" xfId="97" xr:uid="{00000000-0005-0000-0000-000073000000}"/>
    <cellStyle name="Accent2 2 2" xfId="98" xr:uid="{00000000-0005-0000-0000-000074000000}"/>
    <cellStyle name="Accent2 2 3" xfId="264" xr:uid="{00000000-0005-0000-0000-000075000000}"/>
    <cellStyle name="Accent2 3" xfId="99" xr:uid="{00000000-0005-0000-0000-000076000000}"/>
    <cellStyle name="Accent2 4" xfId="100" xr:uid="{00000000-0005-0000-0000-000077000000}"/>
    <cellStyle name="Accent3" xfId="101" builtinId="37" customBuiltin="1"/>
    <cellStyle name="Accent3 2" xfId="102" xr:uid="{00000000-0005-0000-0000-000079000000}"/>
    <cellStyle name="Accent3 2 2" xfId="103" xr:uid="{00000000-0005-0000-0000-00007A000000}"/>
    <cellStyle name="Accent3 2 3" xfId="265" xr:uid="{00000000-0005-0000-0000-00007B000000}"/>
    <cellStyle name="Accent3 3" xfId="104" xr:uid="{00000000-0005-0000-0000-00007C000000}"/>
    <cellStyle name="Accent3 4" xfId="105" xr:uid="{00000000-0005-0000-0000-00007D000000}"/>
    <cellStyle name="Accent4" xfId="106" builtinId="41" customBuiltin="1"/>
    <cellStyle name="Accent4 2" xfId="107" xr:uid="{00000000-0005-0000-0000-00007F000000}"/>
    <cellStyle name="Accent4 2 2" xfId="108" xr:uid="{00000000-0005-0000-0000-000080000000}"/>
    <cellStyle name="Accent4 2 3" xfId="266" xr:uid="{00000000-0005-0000-0000-000081000000}"/>
    <cellStyle name="Accent4 3" xfId="109" xr:uid="{00000000-0005-0000-0000-000082000000}"/>
    <cellStyle name="Accent4 4" xfId="110" xr:uid="{00000000-0005-0000-0000-000083000000}"/>
    <cellStyle name="Accent5" xfId="111" builtinId="45" customBuiltin="1"/>
    <cellStyle name="Accent5 2" xfId="112" xr:uid="{00000000-0005-0000-0000-000085000000}"/>
    <cellStyle name="Accent5 2 2" xfId="113" xr:uid="{00000000-0005-0000-0000-000086000000}"/>
    <cellStyle name="Accent5 2 3" xfId="267" xr:uid="{00000000-0005-0000-0000-000087000000}"/>
    <cellStyle name="Accent5 3" xfId="114" xr:uid="{00000000-0005-0000-0000-000088000000}"/>
    <cellStyle name="Accent5 4" xfId="115" xr:uid="{00000000-0005-0000-0000-000089000000}"/>
    <cellStyle name="Accent6" xfId="116" builtinId="49" customBuiltin="1"/>
    <cellStyle name="Accent6 2" xfId="117" xr:uid="{00000000-0005-0000-0000-00008B000000}"/>
    <cellStyle name="Accent6 2 2" xfId="118" xr:uid="{00000000-0005-0000-0000-00008C000000}"/>
    <cellStyle name="Accent6 2 3" xfId="268" xr:uid="{00000000-0005-0000-0000-00008D000000}"/>
    <cellStyle name="Accent6 3" xfId="119" xr:uid="{00000000-0005-0000-0000-00008E000000}"/>
    <cellStyle name="Accent6 4" xfId="120" xr:uid="{00000000-0005-0000-0000-00008F000000}"/>
    <cellStyle name="Bad" xfId="121" builtinId="27" customBuiltin="1"/>
    <cellStyle name="Bad 2" xfId="122" xr:uid="{00000000-0005-0000-0000-000091000000}"/>
    <cellStyle name="Bad 2 2" xfId="123" xr:uid="{00000000-0005-0000-0000-000092000000}"/>
    <cellStyle name="Bad 2 3" xfId="269" xr:uid="{00000000-0005-0000-0000-000093000000}"/>
    <cellStyle name="Bad 3" xfId="124" xr:uid="{00000000-0005-0000-0000-000094000000}"/>
    <cellStyle name="Bad 4" xfId="125" xr:uid="{00000000-0005-0000-0000-000095000000}"/>
    <cellStyle name="Calculation" xfId="126" builtinId="22" customBuiltin="1"/>
    <cellStyle name="Calculation 2" xfId="127" xr:uid="{00000000-0005-0000-0000-000097000000}"/>
    <cellStyle name="Calculation 2 2" xfId="128" xr:uid="{00000000-0005-0000-0000-000098000000}"/>
    <cellStyle name="Calculation 2 3" xfId="270" xr:uid="{00000000-0005-0000-0000-000099000000}"/>
    <cellStyle name="Calculation 3" xfId="129" xr:uid="{00000000-0005-0000-0000-00009A000000}"/>
    <cellStyle name="Calculation 4" xfId="130" xr:uid="{00000000-0005-0000-0000-00009B000000}"/>
    <cellStyle name="Check Cell" xfId="131" builtinId="23" customBuiltin="1"/>
    <cellStyle name="Check Cell 2" xfId="132" xr:uid="{00000000-0005-0000-0000-00009D000000}"/>
    <cellStyle name="Check Cell 2 2" xfId="133" xr:uid="{00000000-0005-0000-0000-00009E000000}"/>
    <cellStyle name="Check Cell 2 3" xfId="271" xr:uid="{00000000-0005-0000-0000-00009F000000}"/>
    <cellStyle name="Check Cell 3" xfId="134" xr:uid="{00000000-0005-0000-0000-0000A0000000}"/>
    <cellStyle name="Check Cell 4" xfId="135" xr:uid="{00000000-0005-0000-0000-0000A1000000}"/>
    <cellStyle name="Comma 2" xfId="136" xr:uid="{00000000-0005-0000-0000-0000A3000000}"/>
    <cellStyle name="Comma 3" xfId="137" xr:uid="{00000000-0005-0000-0000-0000A4000000}"/>
    <cellStyle name="Comma 4" xfId="242" xr:uid="{00000000-0005-0000-0000-0000A5000000}"/>
    <cellStyle name="Comma 5" xfId="272" xr:uid="{00000000-0005-0000-0000-0000A6000000}"/>
    <cellStyle name="Data" xfId="138" xr:uid="{00000000-0005-0000-0000-0000A7000000}"/>
    <cellStyle name="Data 2" xfId="273" xr:uid="{00000000-0005-0000-0000-0000A8000000}"/>
    <cellStyle name="Data 3" xfId="274" xr:uid="{00000000-0005-0000-0000-0000A9000000}"/>
    <cellStyle name="DataInput" xfId="139" xr:uid="{00000000-0005-0000-0000-0000AA000000}"/>
    <cellStyle name="DataInput 2" xfId="275" xr:uid="{00000000-0005-0000-0000-0000AB000000}"/>
    <cellStyle name="DataInput 3" xfId="276" xr:uid="{00000000-0005-0000-0000-0000AC000000}"/>
    <cellStyle name="Explanatory Text" xfId="140" builtinId="53" customBuiltin="1"/>
    <cellStyle name="Explanatory Text 2" xfId="141" xr:uid="{00000000-0005-0000-0000-0000AE000000}"/>
    <cellStyle name="Explanatory Text 2 2" xfId="142" xr:uid="{00000000-0005-0000-0000-0000AF000000}"/>
    <cellStyle name="Explanatory Text 2 3" xfId="277" xr:uid="{00000000-0005-0000-0000-0000B0000000}"/>
    <cellStyle name="Explanatory Text 3" xfId="143" xr:uid="{00000000-0005-0000-0000-0000B1000000}"/>
    <cellStyle name="Explanatory Text 4" xfId="144" xr:uid="{00000000-0005-0000-0000-0000B2000000}"/>
    <cellStyle name="Good" xfId="145" builtinId="26" customBuiltin="1"/>
    <cellStyle name="Good 2" xfId="146" xr:uid="{00000000-0005-0000-0000-0000B4000000}"/>
    <cellStyle name="Good 2 2" xfId="147" xr:uid="{00000000-0005-0000-0000-0000B5000000}"/>
    <cellStyle name="Good 2 3" xfId="278" xr:uid="{00000000-0005-0000-0000-0000B6000000}"/>
    <cellStyle name="Good 3" xfId="148" xr:uid="{00000000-0005-0000-0000-0000B7000000}"/>
    <cellStyle name="Good 4" xfId="149" xr:uid="{00000000-0005-0000-0000-0000B8000000}"/>
    <cellStyle name="Header" xfId="150" xr:uid="{00000000-0005-0000-0000-0000B9000000}"/>
    <cellStyle name="Header 2" xfId="279" xr:uid="{00000000-0005-0000-0000-0000BA000000}"/>
    <cellStyle name="Header 3" xfId="280" xr:uid="{00000000-0005-0000-0000-0000BB000000}"/>
    <cellStyle name="Heading 1" xfId="151" builtinId="16" customBuiltin="1"/>
    <cellStyle name="Heading 1 2" xfId="152" xr:uid="{00000000-0005-0000-0000-0000BD000000}"/>
    <cellStyle name="Heading 1 2 2" xfId="153" xr:uid="{00000000-0005-0000-0000-0000BE000000}"/>
    <cellStyle name="Heading 1 2 3" xfId="281" xr:uid="{00000000-0005-0000-0000-0000BF000000}"/>
    <cellStyle name="Heading 1 3" xfId="154" xr:uid="{00000000-0005-0000-0000-0000C0000000}"/>
    <cellStyle name="Heading 1 4" xfId="155" xr:uid="{00000000-0005-0000-0000-0000C1000000}"/>
    <cellStyle name="Heading 2" xfId="156" builtinId="17" customBuiltin="1"/>
    <cellStyle name="Heading 2 2" xfId="157" xr:uid="{00000000-0005-0000-0000-0000C3000000}"/>
    <cellStyle name="Heading 2 2 2" xfId="158" xr:uid="{00000000-0005-0000-0000-0000C4000000}"/>
    <cellStyle name="Heading 2 2 3" xfId="282" xr:uid="{00000000-0005-0000-0000-0000C5000000}"/>
    <cellStyle name="Heading 2 3" xfId="159" xr:uid="{00000000-0005-0000-0000-0000C6000000}"/>
    <cellStyle name="Heading 2 4" xfId="160" xr:uid="{00000000-0005-0000-0000-0000C7000000}"/>
    <cellStyle name="Heading 3" xfId="161" builtinId="18" customBuiltin="1"/>
    <cellStyle name="Heading 3 2" xfId="162" xr:uid="{00000000-0005-0000-0000-0000C9000000}"/>
    <cellStyle name="Heading 3 2 2" xfId="163" xr:uid="{00000000-0005-0000-0000-0000CA000000}"/>
    <cellStyle name="Heading 3 2 3" xfId="283" xr:uid="{00000000-0005-0000-0000-0000CB000000}"/>
    <cellStyle name="Heading 3 3" xfId="164" xr:uid="{00000000-0005-0000-0000-0000CC000000}"/>
    <cellStyle name="Heading 3 4" xfId="165" xr:uid="{00000000-0005-0000-0000-0000CD000000}"/>
    <cellStyle name="Heading 4" xfId="166" builtinId="19" customBuiltin="1"/>
    <cellStyle name="Heading 4 2" xfId="167" xr:uid="{00000000-0005-0000-0000-0000CF000000}"/>
    <cellStyle name="Heading 4 2 2" xfId="168" xr:uid="{00000000-0005-0000-0000-0000D0000000}"/>
    <cellStyle name="Heading 4 2 3" xfId="284" xr:uid="{00000000-0005-0000-0000-0000D1000000}"/>
    <cellStyle name="Heading 4 3" xfId="169" xr:uid="{00000000-0005-0000-0000-0000D2000000}"/>
    <cellStyle name="Heading 4 4" xfId="170" xr:uid="{00000000-0005-0000-0000-0000D3000000}"/>
    <cellStyle name="Input" xfId="171" builtinId="20" customBuiltin="1"/>
    <cellStyle name="Input 2" xfId="172" xr:uid="{00000000-0005-0000-0000-0000D5000000}"/>
    <cellStyle name="Input 2 2" xfId="173" xr:uid="{00000000-0005-0000-0000-0000D6000000}"/>
    <cellStyle name="Input 2 3" xfId="285" xr:uid="{00000000-0005-0000-0000-0000D7000000}"/>
    <cellStyle name="Input 3" xfId="174" xr:uid="{00000000-0005-0000-0000-0000D8000000}"/>
    <cellStyle name="Input 4" xfId="175" xr:uid="{00000000-0005-0000-0000-0000D9000000}"/>
    <cellStyle name="Linked Cell" xfId="176" builtinId="24" customBuiltin="1"/>
    <cellStyle name="Linked Cell 2" xfId="177" xr:uid="{00000000-0005-0000-0000-0000DB000000}"/>
    <cellStyle name="Linked Cell 2 2" xfId="178" xr:uid="{00000000-0005-0000-0000-0000DC000000}"/>
    <cellStyle name="Linked Cell 2 3" xfId="286" xr:uid="{00000000-0005-0000-0000-0000DD000000}"/>
    <cellStyle name="Linked Cell 3" xfId="179" xr:uid="{00000000-0005-0000-0000-0000DE000000}"/>
    <cellStyle name="Linked Cell 4" xfId="180" xr:uid="{00000000-0005-0000-0000-0000DF000000}"/>
    <cellStyle name="Milliers [0]_rating factor" xfId="181" xr:uid="{00000000-0005-0000-0000-0000E0000000}"/>
    <cellStyle name="Milliers_rating factor" xfId="182" xr:uid="{00000000-0005-0000-0000-0000E1000000}"/>
    <cellStyle name="Monétaire [0]_rating factor" xfId="183" xr:uid="{00000000-0005-0000-0000-0000E2000000}"/>
    <cellStyle name="Monétaire_rating factor" xfId="184" xr:uid="{00000000-0005-0000-0000-0000E3000000}"/>
    <cellStyle name="Month" xfId="185" xr:uid="{00000000-0005-0000-0000-0000E4000000}"/>
    <cellStyle name="Month 2" xfId="186" xr:uid="{00000000-0005-0000-0000-0000E5000000}"/>
    <cellStyle name="Month 3" xfId="187" xr:uid="{00000000-0005-0000-0000-0000E6000000}"/>
    <cellStyle name="Month 4" xfId="188" xr:uid="{00000000-0005-0000-0000-0000E7000000}"/>
    <cellStyle name="Neutral" xfId="189" builtinId="28" customBuiltin="1"/>
    <cellStyle name="Neutral 2" xfId="190" xr:uid="{00000000-0005-0000-0000-0000E9000000}"/>
    <cellStyle name="Neutral 2 2" xfId="191" xr:uid="{00000000-0005-0000-0000-0000EA000000}"/>
    <cellStyle name="Neutral 2 3" xfId="287" xr:uid="{00000000-0005-0000-0000-0000EB000000}"/>
    <cellStyle name="Neutral 3" xfId="192" xr:uid="{00000000-0005-0000-0000-0000EC000000}"/>
    <cellStyle name="Neutral 4" xfId="193" xr:uid="{00000000-0005-0000-0000-0000ED000000}"/>
    <cellStyle name="Normal" xfId="0" builtinId="0"/>
    <cellStyle name="Normal 2" xfId="194" xr:uid="{00000000-0005-0000-0000-0000EF000000}"/>
    <cellStyle name="Normal 2 2" xfId="241" xr:uid="{00000000-0005-0000-0000-0000F0000000}"/>
    <cellStyle name="Normal 3" xfId="195" xr:uid="{00000000-0005-0000-0000-0000F1000000}"/>
    <cellStyle name="Normal 3 2" xfId="196" xr:uid="{00000000-0005-0000-0000-0000F2000000}"/>
    <cellStyle name="Normal 3 3" xfId="244" xr:uid="{00000000-0005-0000-0000-0000F3000000}"/>
    <cellStyle name="Normal 3 4" xfId="288" xr:uid="{00000000-0005-0000-0000-0000F4000000}"/>
    <cellStyle name="Normal 4" xfId="197" xr:uid="{00000000-0005-0000-0000-0000F5000000}"/>
    <cellStyle name="Normal 5" xfId="198" xr:uid="{00000000-0005-0000-0000-0000F6000000}"/>
    <cellStyle name="Normal 6" xfId="240" xr:uid="{00000000-0005-0000-0000-0000F7000000}"/>
    <cellStyle name="Normal_LFS_CollateralandCntrptyRisk" xfId="199" xr:uid="{00000000-0005-0000-0000-0000F8000000}"/>
    <cellStyle name="Note" xfId="200" builtinId="10" customBuiltin="1"/>
    <cellStyle name="Note 2" xfId="201" xr:uid="{00000000-0005-0000-0000-0000FB000000}"/>
    <cellStyle name="Note 2 2" xfId="202" xr:uid="{00000000-0005-0000-0000-0000FC000000}"/>
    <cellStyle name="Note 2 3" xfId="289" xr:uid="{00000000-0005-0000-0000-0000FD000000}"/>
    <cellStyle name="Note 3" xfId="203" xr:uid="{00000000-0005-0000-0000-0000FE000000}"/>
    <cellStyle name="Note 4" xfId="204" xr:uid="{00000000-0005-0000-0000-0000FF000000}"/>
    <cellStyle name="Output" xfId="205" builtinId="21" customBuiltin="1"/>
    <cellStyle name="Output 2" xfId="206" xr:uid="{00000000-0005-0000-0000-000001010000}"/>
    <cellStyle name="Output 2 2" xfId="207" xr:uid="{00000000-0005-0000-0000-000002010000}"/>
    <cellStyle name="Output 2 3" xfId="290" xr:uid="{00000000-0005-0000-0000-000003010000}"/>
    <cellStyle name="Output 3" xfId="208" xr:uid="{00000000-0005-0000-0000-000004010000}"/>
    <cellStyle name="Output 4" xfId="209" xr:uid="{00000000-0005-0000-0000-000005010000}"/>
    <cellStyle name="Percent" xfId="210" builtinId="5"/>
    <cellStyle name="Percent 2" xfId="211" xr:uid="{00000000-0005-0000-0000-000007010000}"/>
    <cellStyle name="Percent 3" xfId="212" xr:uid="{00000000-0005-0000-0000-000008010000}"/>
    <cellStyle name="Percent 3 2" xfId="291" xr:uid="{00000000-0005-0000-0000-000009010000}"/>
    <cellStyle name="Percent 3 3" xfId="292" xr:uid="{00000000-0005-0000-0000-00000A010000}"/>
    <cellStyle name="Percent 4" xfId="213" xr:uid="{00000000-0005-0000-0000-00000B010000}"/>
    <cellStyle name="Percent 5" xfId="243" xr:uid="{00000000-0005-0000-0000-00000C010000}"/>
    <cellStyle name="PricingProducts" xfId="214" xr:uid="{00000000-0005-0000-0000-00000D010000}"/>
    <cellStyle name="Style 1" xfId="215" xr:uid="{00000000-0005-0000-0000-00000E010000}"/>
    <cellStyle name="Style 1 2" xfId="216" xr:uid="{00000000-0005-0000-0000-00000F010000}"/>
    <cellStyle name="Style 1 3" xfId="217" xr:uid="{00000000-0005-0000-0000-000010010000}"/>
    <cellStyle name="Style 1 4" xfId="218" xr:uid="{00000000-0005-0000-0000-000011010000}"/>
    <cellStyle name="TIMES" xfId="219" xr:uid="{00000000-0005-0000-0000-000012010000}"/>
    <cellStyle name="TIMES 2" xfId="293" xr:uid="{00000000-0005-0000-0000-000013010000}"/>
    <cellStyle name="TIMES 3" xfId="294" xr:uid="{00000000-0005-0000-0000-000014010000}"/>
    <cellStyle name="Title" xfId="220" builtinId="15" customBuiltin="1"/>
    <cellStyle name="Title 2" xfId="221" xr:uid="{00000000-0005-0000-0000-000016010000}"/>
    <cellStyle name="Title 2 2" xfId="222" xr:uid="{00000000-0005-0000-0000-000017010000}"/>
    <cellStyle name="Title 2 3" xfId="295" xr:uid="{00000000-0005-0000-0000-000018010000}"/>
    <cellStyle name="Title 3" xfId="223" xr:uid="{00000000-0005-0000-0000-000019010000}"/>
    <cellStyle name="Title 4" xfId="224" xr:uid="{00000000-0005-0000-0000-00001A010000}"/>
    <cellStyle name="Total" xfId="225" builtinId="25" customBuiltin="1"/>
    <cellStyle name="Total 2" xfId="226" xr:uid="{00000000-0005-0000-0000-00001C010000}"/>
    <cellStyle name="Total 2 2" xfId="227" xr:uid="{00000000-0005-0000-0000-00001D010000}"/>
    <cellStyle name="Total 2 3" xfId="296" xr:uid="{00000000-0005-0000-0000-00001E010000}"/>
    <cellStyle name="Total 3" xfId="228" xr:uid="{00000000-0005-0000-0000-00001F010000}"/>
    <cellStyle name="Total 4" xfId="229" xr:uid="{00000000-0005-0000-0000-000020010000}"/>
    <cellStyle name="Warning Text" xfId="230" builtinId="11" customBuiltin="1"/>
    <cellStyle name="Warning Text 2" xfId="231" xr:uid="{00000000-0005-0000-0000-000022010000}"/>
    <cellStyle name="Warning Text 2 2" xfId="232" xr:uid="{00000000-0005-0000-0000-000023010000}"/>
    <cellStyle name="Warning Text 2 3" xfId="297" xr:uid="{00000000-0005-0000-0000-000024010000}"/>
    <cellStyle name="Warning Text 3" xfId="233" xr:uid="{00000000-0005-0000-0000-000025010000}"/>
    <cellStyle name="Warning Text 4" xfId="234" xr:uid="{00000000-0005-0000-0000-000026010000}"/>
    <cellStyle name="WASP_PLStyle" xfId="235" xr:uid="{00000000-0005-0000-0000-000027010000}"/>
    <cellStyle name="Year" xfId="236" xr:uid="{00000000-0005-0000-0000-000028010000}"/>
    <cellStyle name="Year 2" xfId="237" xr:uid="{00000000-0005-0000-0000-000029010000}"/>
    <cellStyle name="Year 3" xfId="238" xr:uid="{00000000-0005-0000-0000-00002A010000}"/>
    <cellStyle name="Year 4" xfId="239" xr:uid="{00000000-0005-0000-0000-00002B01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3" Type="http://schemas.openxmlformats.org/officeDocument/2006/relationships/externalLink" Target="externalLinks/externalLink1.xml"/><Relationship Id="rId21" Type="http://schemas.openxmlformats.org/officeDocument/2006/relationships/styles" Target="styles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microsoft.com/office/2006/relationships/vbaProject" Target="vbaProject.bin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1145584725538"/>
          <c:y val="8.6539463465943156E-2"/>
          <c:w val="0.81948188139352729"/>
          <c:h val="0.747805007520127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Spreadsheet9.1!$E$53:$E$93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-1.2352185881241984E-2</c:v>
                </c:pt>
                <c:pt idx="2">
                  <c:v>-2.088008163694699E-2</c:v>
                </c:pt>
                <c:pt idx="3">
                  <c:v>-9.6692057783141494E-3</c:v>
                </c:pt>
                <c:pt idx="4">
                  <c:v>-2.8370896040520066E-2</c:v>
                </c:pt>
                <c:pt idx="5">
                  <c:v>-5.2384194708465337E-2</c:v>
                </c:pt>
                <c:pt idx="6">
                  <c:v>-7.3950813920779235E-2</c:v>
                </c:pt>
                <c:pt idx="7">
                  <c:v>-8.8315428894428338E-2</c:v>
                </c:pt>
                <c:pt idx="8">
                  <c:v>-0.12435499768008462</c:v>
                </c:pt>
                <c:pt idx="9">
                  <c:v>-0.17523022016667034</c:v>
                </c:pt>
                <c:pt idx="10">
                  <c:v>-0.1612086585770825</c:v>
                </c:pt>
                <c:pt idx="11">
                  <c:v>-0.19023146371739075</c:v>
                </c:pt>
                <c:pt idx="12">
                  <c:v>-0.20946568468434157</c:v>
                </c:pt>
                <c:pt idx="13">
                  <c:v>-0.18465434727163033</c:v>
                </c:pt>
                <c:pt idx="14">
                  <c:v>-0.20305368987261754</c:v>
                </c:pt>
                <c:pt idx="15">
                  <c:v>-0.18735019141025494</c:v>
                </c:pt>
                <c:pt idx="16">
                  <c:v>-0.18186102134214213</c:v>
                </c:pt>
                <c:pt idx="17">
                  <c:v>-0.1873639640510758</c:v>
                </c:pt>
                <c:pt idx="18">
                  <c:v>-0.16623251673933981</c:v>
                </c:pt>
                <c:pt idx="19">
                  <c:v>-0.14578635474413559</c:v>
                </c:pt>
                <c:pt idx="20">
                  <c:v>-0.12930981633169616</c:v>
                </c:pt>
                <c:pt idx="21">
                  <c:v>-0.12001420282453626</c:v>
                </c:pt>
                <c:pt idx="22">
                  <c:v>-0.10938435773071872</c:v>
                </c:pt>
                <c:pt idx="23">
                  <c:v>-8.6499174632025694E-2</c:v>
                </c:pt>
                <c:pt idx="24">
                  <c:v>-6.4519076240789619E-2</c:v>
                </c:pt>
                <c:pt idx="25">
                  <c:v>-4.787126940751818E-2</c:v>
                </c:pt>
                <c:pt idx="26">
                  <c:v>-4.4820076582048646E-2</c:v>
                </c:pt>
                <c:pt idx="27">
                  <c:v>-4.9281035356802533E-2</c:v>
                </c:pt>
                <c:pt idx="28">
                  <c:v>-2.8737156177392892E-2</c:v>
                </c:pt>
                <c:pt idx="29">
                  <c:v>-9.9642371794345375E-3</c:v>
                </c:pt>
                <c:pt idx="30">
                  <c:v>-8.9430466709865264E-3</c:v>
                </c:pt>
                <c:pt idx="31">
                  <c:v>-3.3204446863250581E-3</c:v>
                </c:pt>
                <c:pt idx="32">
                  <c:v>-9.7968935453872918E-3</c:v>
                </c:pt>
                <c:pt idx="33">
                  <c:v>-7.7724632540708272E-3</c:v>
                </c:pt>
                <c:pt idx="34">
                  <c:v>-1.8852017279565453E-3</c:v>
                </c:pt>
                <c:pt idx="35">
                  <c:v>3.1784874788975542E-3</c:v>
                </c:pt>
                <c:pt idx="36">
                  <c:v>-1.5221475833754605E-3</c:v>
                </c:pt>
                <c:pt idx="37">
                  <c:v>1.7691541562859028E-3</c:v>
                </c:pt>
                <c:pt idx="38">
                  <c:v>1.5724717506492014E-4</c:v>
                </c:pt>
                <c:pt idx="39">
                  <c:v>-1.2634601205470733E-3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23-43A3-B1F8-B6BABF041C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Spreadsheet9.1!$F$53:$F$93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1.1626511254875738E-2</c:v>
                </c:pt>
                <c:pt idx="2">
                  <c:v>8.0764333069355265E-3</c:v>
                </c:pt>
                <c:pt idx="3">
                  <c:v>-4.1433817896859848E-3</c:v>
                </c:pt>
                <c:pt idx="4">
                  <c:v>-3.2178326636525756E-2</c:v>
                </c:pt>
                <c:pt idx="5">
                  <c:v>-3.4135296603756859E-2</c:v>
                </c:pt>
                <c:pt idx="6">
                  <c:v>-4.5604894225417247E-3</c:v>
                </c:pt>
                <c:pt idx="7">
                  <c:v>-3.2163232968430655E-2</c:v>
                </c:pt>
                <c:pt idx="8">
                  <c:v>-5.1913298313251977E-3</c:v>
                </c:pt>
                <c:pt idx="9">
                  <c:v>-3.990764590603546E-2</c:v>
                </c:pt>
                <c:pt idx="10">
                  <c:v>-4.846672817024944E-2</c:v>
                </c:pt>
                <c:pt idx="11">
                  <c:v>-2.2158936229210446E-2</c:v>
                </c:pt>
                <c:pt idx="12">
                  <c:v>-4.1269100006362913E-2</c:v>
                </c:pt>
                <c:pt idx="13">
                  <c:v>-6.4931977781028605E-2</c:v>
                </c:pt>
                <c:pt idx="14">
                  <c:v>-4.9110992078395366E-2</c:v>
                </c:pt>
                <c:pt idx="15">
                  <c:v>-4.4224286497724363E-3</c:v>
                </c:pt>
                <c:pt idx="16">
                  <c:v>1.6380846409033645E-2</c:v>
                </c:pt>
                <c:pt idx="17">
                  <c:v>4.0410322262155907E-2</c:v>
                </c:pt>
                <c:pt idx="18">
                  <c:v>3.3266900170855651E-2</c:v>
                </c:pt>
                <c:pt idx="19">
                  <c:v>3.7062030022304876E-2</c:v>
                </c:pt>
                <c:pt idx="20">
                  <c:v>3.0916791696989521E-2</c:v>
                </c:pt>
                <c:pt idx="21">
                  <c:v>4.8446943697512346E-2</c:v>
                </c:pt>
                <c:pt idx="22">
                  <c:v>3.4191538846732428E-2</c:v>
                </c:pt>
                <c:pt idx="23">
                  <c:v>4.5550622383763506E-2</c:v>
                </c:pt>
                <c:pt idx="24">
                  <c:v>3.960355199148724E-2</c:v>
                </c:pt>
                <c:pt idx="25">
                  <c:v>2.7056259793644982E-2</c:v>
                </c:pt>
                <c:pt idx="26">
                  <c:v>3.6326321972899117E-2</c:v>
                </c:pt>
                <c:pt idx="27">
                  <c:v>3.8931044862632547E-2</c:v>
                </c:pt>
                <c:pt idx="28">
                  <c:v>2.0771045968698693E-2</c:v>
                </c:pt>
                <c:pt idx="29">
                  <c:v>2.8321897219272668E-2</c:v>
                </c:pt>
                <c:pt idx="30">
                  <c:v>3.9645304493304057E-2</c:v>
                </c:pt>
                <c:pt idx="31">
                  <c:v>4.0786344258901694E-2</c:v>
                </c:pt>
                <c:pt idx="32">
                  <c:v>4.9407473214723885E-2</c:v>
                </c:pt>
                <c:pt idx="33">
                  <c:v>4.9499249449650229E-2</c:v>
                </c:pt>
                <c:pt idx="34">
                  <c:v>3.9603899639389456E-2</c:v>
                </c:pt>
                <c:pt idx="35">
                  <c:v>2.1566236306084979E-2</c:v>
                </c:pt>
                <c:pt idx="36">
                  <c:v>2.2997612795466922E-2</c:v>
                </c:pt>
                <c:pt idx="37">
                  <c:v>1.8350837045511423E-2</c:v>
                </c:pt>
                <c:pt idx="38">
                  <c:v>1.376958492167929E-2</c:v>
                </c:pt>
                <c:pt idx="39">
                  <c:v>6.5894282174832185E-3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23-43A3-B1F8-B6BABF041C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Spreadsheet9.1!$G$53:$G$93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-3.1954597573711718E-2</c:v>
                </c:pt>
                <c:pt idx="2">
                  <c:v>-4.4204411429428214E-2</c:v>
                </c:pt>
                <c:pt idx="3">
                  <c:v>-2.3663290274811843E-2</c:v>
                </c:pt>
                <c:pt idx="4">
                  <c:v>1.7316318690547117E-2</c:v>
                </c:pt>
                <c:pt idx="5">
                  <c:v>2.2066200305686789E-2</c:v>
                </c:pt>
                <c:pt idx="6">
                  <c:v>6.8201665586909432E-3</c:v>
                </c:pt>
                <c:pt idx="7">
                  <c:v>6.189770428297714E-3</c:v>
                </c:pt>
                <c:pt idx="8">
                  <c:v>4.3326940183884277E-2</c:v>
                </c:pt>
                <c:pt idx="9">
                  <c:v>7.4651685335015316E-2</c:v>
                </c:pt>
                <c:pt idx="10">
                  <c:v>8.0997316948227538E-2</c:v>
                </c:pt>
                <c:pt idx="11">
                  <c:v>5.0085684296470756E-2</c:v>
                </c:pt>
                <c:pt idx="12">
                  <c:v>5.0752358571695799E-2</c:v>
                </c:pt>
                <c:pt idx="13">
                  <c:v>6.6726792625694642E-2</c:v>
                </c:pt>
                <c:pt idx="14">
                  <c:v>0.10917304251906912</c:v>
                </c:pt>
                <c:pt idx="15">
                  <c:v>0.1279644089363009</c:v>
                </c:pt>
                <c:pt idx="16">
                  <c:v>0.15560774560912904</c:v>
                </c:pt>
                <c:pt idx="17">
                  <c:v>0.12203623997279905</c:v>
                </c:pt>
                <c:pt idx="18">
                  <c:v>0.11537015262054273</c:v>
                </c:pt>
                <c:pt idx="19">
                  <c:v>0.12469954813082973</c:v>
                </c:pt>
                <c:pt idx="20">
                  <c:v>8.6827820897561303E-2</c:v>
                </c:pt>
                <c:pt idx="21">
                  <c:v>7.0564352237163064E-2</c:v>
                </c:pt>
                <c:pt idx="22">
                  <c:v>7.5635822273568909E-2</c:v>
                </c:pt>
                <c:pt idx="23">
                  <c:v>7.0865295987308285E-2</c:v>
                </c:pt>
                <c:pt idx="24">
                  <c:v>5.5227088637099353E-2</c:v>
                </c:pt>
                <c:pt idx="25">
                  <c:v>5.3122227845571218E-2</c:v>
                </c:pt>
                <c:pt idx="26">
                  <c:v>4.3055560224841971E-2</c:v>
                </c:pt>
                <c:pt idx="27">
                  <c:v>4.9725335395540998E-2</c:v>
                </c:pt>
                <c:pt idx="28">
                  <c:v>4.3418549849755878E-2</c:v>
                </c:pt>
                <c:pt idx="29">
                  <c:v>2.5337669058764084E-2</c:v>
                </c:pt>
                <c:pt idx="30">
                  <c:v>4.3564646832199808E-2</c:v>
                </c:pt>
                <c:pt idx="31">
                  <c:v>3.4918659002954974E-2</c:v>
                </c:pt>
                <c:pt idx="32">
                  <c:v>1.5612105964832881E-2</c:v>
                </c:pt>
                <c:pt idx="33">
                  <c:v>7.5894760116404503E-4</c:v>
                </c:pt>
                <c:pt idx="34">
                  <c:v>4.5580376055442268E-3</c:v>
                </c:pt>
                <c:pt idx="35">
                  <c:v>1.1789942455782888E-2</c:v>
                </c:pt>
                <c:pt idx="36">
                  <c:v>1.3844980733390723E-2</c:v>
                </c:pt>
                <c:pt idx="37">
                  <c:v>9.314993223023052E-3</c:v>
                </c:pt>
                <c:pt idx="38">
                  <c:v>7.5434389667595608E-3</c:v>
                </c:pt>
                <c:pt idx="39">
                  <c:v>3.0916230816560569E-3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23-43A3-B1F8-B6BABF041C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Spreadsheet9.1!$H$53:$H$93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1.6705529525270602E-2</c:v>
                </c:pt>
                <c:pt idx="2">
                  <c:v>9.0984050424474661E-3</c:v>
                </c:pt>
                <c:pt idx="3">
                  <c:v>2.2213601382082782E-2</c:v>
                </c:pt>
                <c:pt idx="4">
                  <c:v>7.5637667578150491E-2</c:v>
                </c:pt>
                <c:pt idx="5">
                  <c:v>9.0174648463081708E-2</c:v>
                </c:pt>
                <c:pt idx="6">
                  <c:v>6.3857166048203851E-2</c:v>
                </c:pt>
                <c:pt idx="7">
                  <c:v>4.6982711781174802E-2</c:v>
                </c:pt>
                <c:pt idx="8">
                  <c:v>4.2872687263488085E-2</c:v>
                </c:pt>
                <c:pt idx="9">
                  <c:v>3.854746266800102E-2</c:v>
                </c:pt>
                <c:pt idx="10">
                  <c:v>2.0979847250983619E-2</c:v>
                </c:pt>
                <c:pt idx="11">
                  <c:v>-1.1471155722889703E-2</c:v>
                </c:pt>
                <c:pt idx="12">
                  <c:v>-3.9750584009449474E-2</c:v>
                </c:pt>
                <c:pt idx="13">
                  <c:v>-2.7223756145805189E-2</c:v>
                </c:pt>
                <c:pt idx="14">
                  <c:v>-5.5498978842181468E-2</c:v>
                </c:pt>
                <c:pt idx="15">
                  <c:v>-3.3163111381638521E-2</c:v>
                </c:pt>
                <c:pt idx="16">
                  <c:v>-5.2273197068596206E-2</c:v>
                </c:pt>
                <c:pt idx="17">
                  <c:v>-5.8215532391517333E-2</c:v>
                </c:pt>
                <c:pt idx="18">
                  <c:v>-3.2945700040145409E-2</c:v>
                </c:pt>
                <c:pt idx="19">
                  <c:v>-2.9464031469271207E-2</c:v>
                </c:pt>
                <c:pt idx="20">
                  <c:v>-8.2467751012299528E-4</c:v>
                </c:pt>
                <c:pt idx="21">
                  <c:v>4.1400174170785897E-3</c:v>
                </c:pt>
                <c:pt idx="22">
                  <c:v>3.0651494194176288E-3</c:v>
                </c:pt>
                <c:pt idx="23">
                  <c:v>-1.5439150383896316E-3</c:v>
                </c:pt>
                <c:pt idx="24">
                  <c:v>-1.4172341428483504E-2</c:v>
                </c:pt>
                <c:pt idx="25">
                  <c:v>-8.1150662409883723E-3</c:v>
                </c:pt>
                <c:pt idx="26">
                  <c:v>-1.8518162032495178E-2</c:v>
                </c:pt>
                <c:pt idx="27">
                  <c:v>-5.5922418698220733E-3</c:v>
                </c:pt>
                <c:pt idx="28">
                  <c:v>-1.20190101861678E-2</c:v>
                </c:pt>
                <c:pt idx="29">
                  <c:v>-3.5418805472888143E-2</c:v>
                </c:pt>
                <c:pt idx="30">
                  <c:v>-1.292037229331075E-2</c:v>
                </c:pt>
                <c:pt idx="31">
                  <c:v>-6.8238467871113151E-3</c:v>
                </c:pt>
                <c:pt idx="32">
                  <c:v>-1.5806030773299229E-2</c:v>
                </c:pt>
                <c:pt idx="33">
                  <c:v>-5.0210309680686627E-3</c:v>
                </c:pt>
                <c:pt idx="34">
                  <c:v>-1.0613260634593613E-2</c:v>
                </c:pt>
                <c:pt idx="35">
                  <c:v>-7.8615041690920373E-3</c:v>
                </c:pt>
                <c:pt idx="36">
                  <c:v>1.8451990094780768E-3</c:v>
                </c:pt>
                <c:pt idx="37">
                  <c:v>5.1818593860990733E-3</c:v>
                </c:pt>
                <c:pt idx="38">
                  <c:v>3.1531999553432791E-3</c:v>
                </c:pt>
                <c:pt idx="39">
                  <c:v>1.1037294347036528E-3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23-43A3-B1F8-B6BABF041C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Spreadsheet9.1!$I$53:$I$93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4.6162267998299367E-2</c:v>
                </c:pt>
                <c:pt idx="2">
                  <c:v>1.579903566323293E-2</c:v>
                </c:pt>
                <c:pt idx="3">
                  <c:v>-9.29519665719164E-3</c:v>
                </c:pt>
                <c:pt idx="4">
                  <c:v>-2.8465921006788686E-2</c:v>
                </c:pt>
                <c:pt idx="5">
                  <c:v>-3.0592672428486289E-2</c:v>
                </c:pt>
                <c:pt idx="6">
                  <c:v>-2.9601479785929641E-2</c:v>
                </c:pt>
                <c:pt idx="7">
                  <c:v>-2.1239026103401448E-2</c:v>
                </c:pt>
                <c:pt idx="8">
                  <c:v>2.2576541103491721E-4</c:v>
                </c:pt>
                <c:pt idx="9">
                  <c:v>-1.6033114078272348E-2</c:v>
                </c:pt>
                <c:pt idx="10">
                  <c:v>4.7270295545206453E-3</c:v>
                </c:pt>
                <c:pt idx="11">
                  <c:v>-5.4023091327737305E-5</c:v>
                </c:pt>
                <c:pt idx="12">
                  <c:v>-9.4576863897175012E-3</c:v>
                </c:pt>
                <c:pt idx="13">
                  <c:v>-1.1281735631190837E-2</c:v>
                </c:pt>
                <c:pt idx="14">
                  <c:v>-4.5447986305848231E-3</c:v>
                </c:pt>
                <c:pt idx="15">
                  <c:v>-2.2634804933015562E-2</c:v>
                </c:pt>
                <c:pt idx="16">
                  <c:v>-1.2267455174921005E-2</c:v>
                </c:pt>
                <c:pt idx="17">
                  <c:v>-1.1273218788739742E-2</c:v>
                </c:pt>
                <c:pt idx="18">
                  <c:v>-5.0964400009533284E-2</c:v>
                </c:pt>
                <c:pt idx="19">
                  <c:v>-5.3222196622593365E-2</c:v>
                </c:pt>
                <c:pt idx="20">
                  <c:v>-5.4571254942411412E-2</c:v>
                </c:pt>
                <c:pt idx="21">
                  <c:v>-3.8112553776642383E-2</c:v>
                </c:pt>
                <c:pt idx="22">
                  <c:v>-4.0740141230099225E-2</c:v>
                </c:pt>
                <c:pt idx="23">
                  <c:v>-3.2478766071351389E-2</c:v>
                </c:pt>
                <c:pt idx="24">
                  <c:v>-4.8475830543308812E-2</c:v>
                </c:pt>
                <c:pt idx="25">
                  <c:v>-2.5830896000489739E-2</c:v>
                </c:pt>
                <c:pt idx="26">
                  <c:v>-1.7615313473232197E-2</c:v>
                </c:pt>
                <c:pt idx="27">
                  <c:v>-3.8258765767519021E-3</c:v>
                </c:pt>
                <c:pt idx="28">
                  <c:v>-2.0462140019797403E-4</c:v>
                </c:pt>
                <c:pt idx="29">
                  <c:v>1.9121697196187726E-3</c:v>
                </c:pt>
                <c:pt idx="30">
                  <c:v>-5.591035476860684E-4</c:v>
                </c:pt>
                <c:pt idx="31">
                  <c:v>1.3120890891953119E-2</c:v>
                </c:pt>
                <c:pt idx="32">
                  <c:v>1.0154639261104798E-2</c:v>
                </c:pt>
                <c:pt idx="33">
                  <c:v>1.1838768467855948E-2</c:v>
                </c:pt>
                <c:pt idx="34">
                  <c:v>2.6761346006511227E-3</c:v>
                </c:pt>
                <c:pt idx="35">
                  <c:v>-1.3534176361892983E-3</c:v>
                </c:pt>
                <c:pt idx="36">
                  <c:v>5.058031384789774E-4</c:v>
                </c:pt>
                <c:pt idx="37">
                  <c:v>2.208451404423474E-3</c:v>
                </c:pt>
                <c:pt idx="38">
                  <c:v>-3.9119548970538431E-4</c:v>
                </c:pt>
                <c:pt idx="39">
                  <c:v>1.3348910013132962E-3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23-43A3-B1F8-B6BABF041C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Spreadsheet9.1!$J$53:$J$93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4.5144471255011975E-3</c:v>
                </c:pt>
                <c:pt idx="2">
                  <c:v>-3.3762135258257109E-2</c:v>
                </c:pt>
                <c:pt idx="3">
                  <c:v>-3.0804009647500463E-2</c:v>
                </c:pt>
                <c:pt idx="4">
                  <c:v>-4.4922746725263696E-2</c:v>
                </c:pt>
                <c:pt idx="5">
                  <c:v>-3.1776090398942802E-2</c:v>
                </c:pt>
                <c:pt idx="6">
                  <c:v>-3.2060057807081099E-2</c:v>
                </c:pt>
                <c:pt idx="7">
                  <c:v>-3.9155170241373494E-2</c:v>
                </c:pt>
                <c:pt idx="8">
                  <c:v>-2.7612313742842898E-2</c:v>
                </c:pt>
                <c:pt idx="9">
                  <c:v>5.1402531185661404E-3</c:v>
                </c:pt>
                <c:pt idx="10">
                  <c:v>2.3975610308988315E-2</c:v>
                </c:pt>
                <c:pt idx="11">
                  <c:v>2.735983206087711E-2</c:v>
                </c:pt>
                <c:pt idx="12">
                  <c:v>6.0281178380513278E-2</c:v>
                </c:pt>
                <c:pt idx="13">
                  <c:v>3.2561965055142639E-2</c:v>
                </c:pt>
                <c:pt idx="14">
                  <c:v>3.0221285355706506E-2</c:v>
                </c:pt>
                <c:pt idx="15">
                  <c:v>5.849557833903235E-2</c:v>
                </c:pt>
                <c:pt idx="16">
                  <c:v>4.8508890451071374E-2</c:v>
                </c:pt>
                <c:pt idx="17">
                  <c:v>6.2698269984005961E-2</c:v>
                </c:pt>
                <c:pt idx="18">
                  <c:v>5.4300409857280157E-2</c:v>
                </c:pt>
                <c:pt idx="19">
                  <c:v>6.5571366348563281E-2</c:v>
                </c:pt>
                <c:pt idx="20">
                  <c:v>5.2002918291851497E-2</c:v>
                </c:pt>
                <c:pt idx="21">
                  <c:v>4.1513048778411998E-2</c:v>
                </c:pt>
                <c:pt idx="22">
                  <c:v>4.7688996660364219E-2</c:v>
                </c:pt>
                <c:pt idx="23">
                  <c:v>5.5232058258732231E-2</c:v>
                </c:pt>
                <c:pt idx="24">
                  <c:v>4.229648025028665E-2</c:v>
                </c:pt>
                <c:pt idx="25">
                  <c:v>3.9190786588615828E-2</c:v>
                </c:pt>
                <c:pt idx="26">
                  <c:v>6.2196904646020956E-2</c:v>
                </c:pt>
                <c:pt idx="27">
                  <c:v>6.241059470512933E-2</c:v>
                </c:pt>
                <c:pt idx="28">
                  <c:v>5.3535758705528014E-2</c:v>
                </c:pt>
                <c:pt idx="29">
                  <c:v>6.2346981137016921E-2</c:v>
                </c:pt>
                <c:pt idx="30">
                  <c:v>7.5538166556165548E-2</c:v>
                </c:pt>
                <c:pt idx="31">
                  <c:v>6.6822902779821641E-2</c:v>
                </c:pt>
                <c:pt idx="32">
                  <c:v>8.5866236471013241E-2</c:v>
                </c:pt>
                <c:pt idx="33">
                  <c:v>7.687863199232986E-2</c:v>
                </c:pt>
                <c:pt idx="34">
                  <c:v>6.1556190434919847E-2</c:v>
                </c:pt>
                <c:pt idx="35">
                  <c:v>5.4907337892788004E-2</c:v>
                </c:pt>
                <c:pt idx="36">
                  <c:v>4.8690364230931031E-2</c:v>
                </c:pt>
                <c:pt idx="37">
                  <c:v>4.5437201619445144E-2</c:v>
                </c:pt>
                <c:pt idx="38">
                  <c:v>3.1580626419996011E-2</c:v>
                </c:pt>
                <c:pt idx="39">
                  <c:v>1.5284478734708255E-2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23-43A3-B1F8-B6BABF041C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Spreadsheet9.1!$K$53:$K$93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-3.0722771009378258E-3</c:v>
                </c:pt>
                <c:pt idx="2">
                  <c:v>-1.4488771566141923E-2</c:v>
                </c:pt>
                <c:pt idx="3">
                  <c:v>-3.125739255881349E-2</c:v>
                </c:pt>
                <c:pt idx="4">
                  <c:v>-1.7768209574085203E-2</c:v>
                </c:pt>
                <c:pt idx="5">
                  <c:v>5.2420750388240456E-2</c:v>
                </c:pt>
                <c:pt idx="6">
                  <c:v>3.8131084009731031E-2</c:v>
                </c:pt>
                <c:pt idx="7">
                  <c:v>4.7638001068652902E-2</c:v>
                </c:pt>
                <c:pt idx="8">
                  <c:v>5.1969493627233354E-2</c:v>
                </c:pt>
                <c:pt idx="9">
                  <c:v>4.9723800509479776E-2</c:v>
                </c:pt>
                <c:pt idx="10">
                  <c:v>6.2225847570946957E-2</c:v>
                </c:pt>
                <c:pt idx="11">
                  <c:v>5.980993562744269E-2</c:v>
                </c:pt>
                <c:pt idx="12">
                  <c:v>-8.043958934190798E-3</c:v>
                </c:pt>
                <c:pt idx="13">
                  <c:v>-4.3085742903851698E-3</c:v>
                </c:pt>
                <c:pt idx="14">
                  <c:v>1.7130182513182879E-2</c:v>
                </c:pt>
                <c:pt idx="15">
                  <c:v>-9.4052730025341869E-3</c:v>
                </c:pt>
                <c:pt idx="16">
                  <c:v>-1.1730372328101091E-2</c:v>
                </c:pt>
                <c:pt idx="17">
                  <c:v>2.4039865561174822E-3</c:v>
                </c:pt>
                <c:pt idx="18">
                  <c:v>3.0330318099503206E-3</c:v>
                </c:pt>
                <c:pt idx="19">
                  <c:v>1.8696412883463243E-3</c:v>
                </c:pt>
                <c:pt idx="20">
                  <c:v>-7.9983570400679604E-4</c:v>
                </c:pt>
                <c:pt idx="21">
                  <c:v>2.0181507400812704E-4</c:v>
                </c:pt>
                <c:pt idx="22">
                  <c:v>1.3815762094630257E-2</c:v>
                </c:pt>
                <c:pt idx="23">
                  <c:v>4.7426979265152991E-3</c:v>
                </c:pt>
                <c:pt idx="24">
                  <c:v>2.2392220681077907E-2</c:v>
                </c:pt>
                <c:pt idx="25">
                  <c:v>7.4494532451548634E-3</c:v>
                </c:pt>
                <c:pt idx="26">
                  <c:v>2.8760995645745052E-2</c:v>
                </c:pt>
                <c:pt idx="27">
                  <c:v>2.1839683252385222E-2</c:v>
                </c:pt>
                <c:pt idx="28">
                  <c:v>3.6689795510930823E-2</c:v>
                </c:pt>
                <c:pt idx="29">
                  <c:v>4.3352873651367724E-2</c:v>
                </c:pt>
                <c:pt idx="30">
                  <c:v>6.2042882526729834E-2</c:v>
                </c:pt>
                <c:pt idx="31">
                  <c:v>4.5835958027788615E-2</c:v>
                </c:pt>
                <c:pt idx="32">
                  <c:v>5.2882449137959059E-2</c:v>
                </c:pt>
                <c:pt idx="33">
                  <c:v>4.5903816870927816E-2</c:v>
                </c:pt>
                <c:pt idx="34">
                  <c:v>3.7145373231318057E-2</c:v>
                </c:pt>
                <c:pt idx="35">
                  <c:v>2.3576845107565483E-2</c:v>
                </c:pt>
                <c:pt idx="36">
                  <c:v>2.4600348457969372E-2</c:v>
                </c:pt>
                <c:pt idx="37">
                  <c:v>1.5181346029171698E-2</c:v>
                </c:pt>
                <c:pt idx="38">
                  <c:v>9.3546882549119248E-3</c:v>
                </c:pt>
                <c:pt idx="39">
                  <c:v>3.1904472862107295E-3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623-43A3-B1F8-B6BABF041C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Spreadsheet9.1!$L$53:$L$93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1.8663069370828955E-2</c:v>
                </c:pt>
                <c:pt idx="2">
                  <c:v>2.9984313056088341E-2</c:v>
                </c:pt>
                <c:pt idx="3">
                  <c:v>3.3874209984695647E-2</c:v>
                </c:pt>
                <c:pt idx="4">
                  <c:v>8.36162603939683E-3</c:v>
                </c:pt>
                <c:pt idx="5">
                  <c:v>4.3791401901215998E-2</c:v>
                </c:pt>
                <c:pt idx="6">
                  <c:v>5.4308766665564334E-2</c:v>
                </c:pt>
                <c:pt idx="7">
                  <c:v>8.4148419211743763E-2</c:v>
                </c:pt>
                <c:pt idx="8">
                  <c:v>7.5652120716848681E-2</c:v>
                </c:pt>
                <c:pt idx="9">
                  <c:v>8.3960081905338324E-2</c:v>
                </c:pt>
                <c:pt idx="10">
                  <c:v>7.4445572108238212E-2</c:v>
                </c:pt>
                <c:pt idx="11">
                  <c:v>0.12689785572165907</c:v>
                </c:pt>
                <c:pt idx="12">
                  <c:v>0.13130927334561787</c:v>
                </c:pt>
                <c:pt idx="13">
                  <c:v>0.1302998285065376</c:v>
                </c:pt>
                <c:pt idx="14">
                  <c:v>0.161907267511327</c:v>
                </c:pt>
                <c:pt idx="15">
                  <c:v>0.17646523269692793</c:v>
                </c:pt>
                <c:pt idx="16">
                  <c:v>0.16942910766438779</c:v>
                </c:pt>
                <c:pt idx="17">
                  <c:v>0.12499389996533489</c:v>
                </c:pt>
                <c:pt idx="18">
                  <c:v>0.11775175742400079</c:v>
                </c:pt>
                <c:pt idx="19">
                  <c:v>0.11152806702781443</c:v>
                </c:pt>
                <c:pt idx="20">
                  <c:v>0.11011419692414759</c:v>
                </c:pt>
                <c:pt idx="21">
                  <c:v>0.13065641790535165</c:v>
                </c:pt>
                <c:pt idx="22">
                  <c:v>0.13850114597501939</c:v>
                </c:pt>
                <c:pt idx="23">
                  <c:v>0.11859448525843785</c:v>
                </c:pt>
                <c:pt idx="24">
                  <c:v>0.12895576569198908</c:v>
                </c:pt>
                <c:pt idx="25">
                  <c:v>0.10857155435234805</c:v>
                </c:pt>
                <c:pt idx="26">
                  <c:v>0.10556353418709694</c:v>
                </c:pt>
                <c:pt idx="27">
                  <c:v>9.8221873314738195E-2</c:v>
                </c:pt>
                <c:pt idx="28">
                  <c:v>8.3303207321868439E-2</c:v>
                </c:pt>
                <c:pt idx="29">
                  <c:v>8.5937668214296797E-2</c:v>
                </c:pt>
                <c:pt idx="30">
                  <c:v>9.2736208707699108E-2</c:v>
                </c:pt>
                <c:pt idx="31">
                  <c:v>6.9092232446460219E-2</c:v>
                </c:pt>
                <c:pt idx="32">
                  <c:v>6.5226955934951134E-2</c:v>
                </c:pt>
                <c:pt idx="33">
                  <c:v>6.126292465786716E-2</c:v>
                </c:pt>
                <c:pt idx="34">
                  <c:v>7.4318075298630215E-2</c:v>
                </c:pt>
                <c:pt idx="35">
                  <c:v>6.297715492689325E-2</c:v>
                </c:pt>
                <c:pt idx="36">
                  <c:v>4.8274077406406886E-2</c:v>
                </c:pt>
                <c:pt idx="37">
                  <c:v>3.9512726114473457E-2</c:v>
                </c:pt>
                <c:pt idx="38">
                  <c:v>2.6085121481984844E-2</c:v>
                </c:pt>
                <c:pt idx="39">
                  <c:v>1.3002920404900711E-2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623-43A3-B1F8-B6BABF041C6C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Spreadsheet9.1!$M$53:$M$93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-4.6280516303975339E-2</c:v>
                </c:pt>
                <c:pt idx="2">
                  <c:v>-5.095177201995249E-2</c:v>
                </c:pt>
                <c:pt idx="3">
                  <c:v>-5.9447556040772898E-2</c:v>
                </c:pt>
                <c:pt idx="4">
                  <c:v>-7.7028933271842903E-2</c:v>
                </c:pt>
                <c:pt idx="5">
                  <c:v>-8.680698404990711E-2</c:v>
                </c:pt>
                <c:pt idx="6">
                  <c:v>-7.5497699625036163E-2</c:v>
                </c:pt>
                <c:pt idx="7">
                  <c:v>-8.4460925007437515E-2</c:v>
                </c:pt>
                <c:pt idx="8">
                  <c:v>-0.10195458537995683</c:v>
                </c:pt>
                <c:pt idx="9">
                  <c:v>-9.70605990268672E-2</c:v>
                </c:pt>
                <c:pt idx="10">
                  <c:v>-8.8872853836718335E-2</c:v>
                </c:pt>
                <c:pt idx="11">
                  <c:v>-0.10414828397651982</c:v>
                </c:pt>
                <c:pt idx="12">
                  <c:v>-9.5842890003221826E-2</c:v>
                </c:pt>
                <c:pt idx="13">
                  <c:v>-8.2439720042309428E-2</c:v>
                </c:pt>
                <c:pt idx="14">
                  <c:v>-7.3556344611506452E-2</c:v>
                </c:pt>
                <c:pt idx="15">
                  <c:v>-7.3913851653507778E-2</c:v>
                </c:pt>
                <c:pt idx="16">
                  <c:v>-4.7841367061662643E-2</c:v>
                </c:pt>
                <c:pt idx="17">
                  <c:v>-4.4789863707034666E-2</c:v>
                </c:pt>
                <c:pt idx="18">
                  <c:v>-2.3508688384388354E-2</c:v>
                </c:pt>
                <c:pt idx="19">
                  <c:v>-1.509791175453723E-2</c:v>
                </c:pt>
                <c:pt idx="20">
                  <c:v>-4.7521946847731145E-4</c:v>
                </c:pt>
                <c:pt idx="21">
                  <c:v>-2.8002720217966043E-2</c:v>
                </c:pt>
                <c:pt idx="22">
                  <c:v>-4.159820006905901E-2</c:v>
                </c:pt>
                <c:pt idx="23">
                  <c:v>-3.526403629502925E-2</c:v>
                </c:pt>
                <c:pt idx="24">
                  <c:v>-1.262331597184968E-2</c:v>
                </c:pt>
                <c:pt idx="25">
                  <c:v>-2.3771435076327674E-3</c:v>
                </c:pt>
                <c:pt idx="26">
                  <c:v>2.1946336190142857E-3</c:v>
                </c:pt>
                <c:pt idx="27">
                  <c:v>2.3070212459254863E-2</c:v>
                </c:pt>
                <c:pt idx="28">
                  <c:v>2.1859821496185206E-2</c:v>
                </c:pt>
                <c:pt idx="29">
                  <c:v>2.8238135331949382E-2</c:v>
                </c:pt>
                <c:pt idx="30">
                  <c:v>3.9315920009741115E-2</c:v>
                </c:pt>
                <c:pt idx="31">
                  <c:v>1.4406530671955547E-2</c:v>
                </c:pt>
                <c:pt idx="32">
                  <c:v>6.4030852887549811E-3</c:v>
                </c:pt>
                <c:pt idx="33">
                  <c:v>-7.0994621498611243E-3</c:v>
                </c:pt>
                <c:pt idx="34">
                  <c:v>-9.2864256745514295E-3</c:v>
                </c:pt>
                <c:pt idx="35">
                  <c:v>-6.201021419296647E-3</c:v>
                </c:pt>
                <c:pt idx="36">
                  <c:v>-4.3832060893026492E-3</c:v>
                </c:pt>
                <c:pt idx="37">
                  <c:v>1.4668550244856735E-3</c:v>
                </c:pt>
                <c:pt idx="38">
                  <c:v>7.8236221551039598E-4</c:v>
                </c:pt>
                <c:pt idx="39">
                  <c:v>1.4153568143525867E-3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23-43A3-B1F8-B6BABF041C6C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Spreadsheet9.1!$N$53:$N$93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6.0333303458244059E-2</c:v>
                </c:pt>
                <c:pt idx="2">
                  <c:v>3.5029743611022124E-2</c:v>
                </c:pt>
                <c:pt idx="3">
                  <c:v>2.7801933228199571E-2</c:v>
                </c:pt>
                <c:pt idx="4">
                  <c:v>7.1677477823656743E-3</c:v>
                </c:pt>
                <c:pt idx="5">
                  <c:v>-4.4480728327910501E-2</c:v>
                </c:pt>
                <c:pt idx="6">
                  <c:v>-3.2263669931058114E-2</c:v>
                </c:pt>
                <c:pt idx="7">
                  <c:v>-6.0943996786182064E-2</c:v>
                </c:pt>
                <c:pt idx="8">
                  <c:v>-5.9346523606010115E-2</c:v>
                </c:pt>
                <c:pt idx="9">
                  <c:v>-6.6449917108309053E-2</c:v>
                </c:pt>
                <c:pt idx="10">
                  <c:v>-4.2459252823748739E-2</c:v>
                </c:pt>
                <c:pt idx="11">
                  <c:v>-4.9487165662360444E-2</c:v>
                </c:pt>
                <c:pt idx="12">
                  <c:v>-2.2239073858445868E-2</c:v>
                </c:pt>
                <c:pt idx="13">
                  <c:v>-2.0272204838880536E-2</c:v>
                </c:pt>
                <c:pt idx="14">
                  <c:v>-3.1526796942317969E-2</c:v>
                </c:pt>
                <c:pt idx="15">
                  <c:v>-1.6120371044008319E-2</c:v>
                </c:pt>
                <c:pt idx="16">
                  <c:v>-2.1847068288552485E-2</c:v>
                </c:pt>
                <c:pt idx="17">
                  <c:v>-2.5848954541606045E-2</c:v>
                </c:pt>
                <c:pt idx="18">
                  <c:v>-3.4479740690897986E-2</c:v>
                </c:pt>
                <c:pt idx="19">
                  <c:v>-3.6747487957324326E-2</c:v>
                </c:pt>
                <c:pt idx="20">
                  <c:v>-3.0476861841879699E-2</c:v>
                </c:pt>
                <c:pt idx="21">
                  <c:v>-1.1271640101800068E-2</c:v>
                </c:pt>
                <c:pt idx="22">
                  <c:v>1.1476245860434442E-2</c:v>
                </c:pt>
                <c:pt idx="23">
                  <c:v>3.4905401387745616E-3</c:v>
                </c:pt>
                <c:pt idx="24">
                  <c:v>1.3892244690700245E-2</c:v>
                </c:pt>
                <c:pt idx="25">
                  <c:v>2.2235740873607329E-2</c:v>
                </c:pt>
                <c:pt idx="26">
                  <c:v>3.0639715562635395E-2</c:v>
                </c:pt>
                <c:pt idx="27">
                  <c:v>2.7800472409010291E-2</c:v>
                </c:pt>
                <c:pt idx="28">
                  <c:v>2.6419569834741863E-2</c:v>
                </c:pt>
                <c:pt idx="29">
                  <c:v>2.0106564325179932E-2</c:v>
                </c:pt>
                <c:pt idx="30">
                  <c:v>2.0969980524237028E-2</c:v>
                </c:pt>
                <c:pt idx="31">
                  <c:v>1.5676818474264664E-2</c:v>
                </c:pt>
                <c:pt idx="32">
                  <c:v>2.3430437404468707E-2</c:v>
                </c:pt>
                <c:pt idx="33">
                  <c:v>1.8867840890282997E-2</c:v>
                </c:pt>
                <c:pt idx="34">
                  <c:v>5.5595871858801077E-3</c:v>
                </c:pt>
                <c:pt idx="35">
                  <c:v>4.7021261842181486E-3</c:v>
                </c:pt>
                <c:pt idx="36">
                  <c:v>2.099324538357844E-4</c:v>
                </c:pt>
                <c:pt idx="37">
                  <c:v>-3.8547857924689927E-3</c:v>
                </c:pt>
                <c:pt idx="38">
                  <c:v>-1.7991792253304918E-3</c:v>
                </c:pt>
                <c:pt idx="39">
                  <c:v>-6.1502644215476535E-4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623-43A3-B1F8-B6BABF041C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Spreadsheet9.1!$O$53:$O$93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-1.8422119884473953E-2</c:v>
                </c:pt>
                <c:pt idx="2">
                  <c:v>4.0941907903814245E-3</c:v>
                </c:pt>
                <c:pt idx="3">
                  <c:v>5.0168278879832995E-3</c:v>
                </c:pt>
                <c:pt idx="4">
                  <c:v>-3.6299011952279359E-3</c:v>
                </c:pt>
                <c:pt idx="5">
                  <c:v>-1.3902030463328274E-2</c:v>
                </c:pt>
                <c:pt idx="6">
                  <c:v>-2.4586548277211351E-2</c:v>
                </c:pt>
                <c:pt idx="7">
                  <c:v>-2.0487020836831404E-2</c:v>
                </c:pt>
                <c:pt idx="8">
                  <c:v>-6.5707720635509004E-2</c:v>
                </c:pt>
                <c:pt idx="9">
                  <c:v>-5.780964315496695E-2</c:v>
                </c:pt>
                <c:pt idx="10">
                  <c:v>-5.5107797893807486E-2</c:v>
                </c:pt>
                <c:pt idx="11">
                  <c:v>-4.2775657300945735E-2</c:v>
                </c:pt>
                <c:pt idx="12">
                  <c:v>-5.1443848531859071E-2</c:v>
                </c:pt>
                <c:pt idx="13">
                  <c:v>-6.4273507082389714E-2</c:v>
                </c:pt>
                <c:pt idx="14">
                  <c:v>-3.0067509350260868E-2</c:v>
                </c:pt>
                <c:pt idx="15">
                  <c:v>-3.255035777870019E-2</c:v>
                </c:pt>
                <c:pt idx="16">
                  <c:v>-5.6677939628629465E-2</c:v>
                </c:pt>
                <c:pt idx="17">
                  <c:v>-4.8110423399677832E-2</c:v>
                </c:pt>
                <c:pt idx="18">
                  <c:v>-5.6349406119052564E-2</c:v>
                </c:pt>
                <c:pt idx="19">
                  <c:v>-6.1024803170616593E-2</c:v>
                </c:pt>
                <c:pt idx="20">
                  <c:v>-5.0121170907461182E-2</c:v>
                </c:pt>
                <c:pt idx="21">
                  <c:v>-4.3158319814494611E-2</c:v>
                </c:pt>
                <c:pt idx="22">
                  <c:v>-4.4898791523831832E-2</c:v>
                </c:pt>
                <c:pt idx="23">
                  <c:v>-3.9300148372276023E-2</c:v>
                </c:pt>
                <c:pt idx="24">
                  <c:v>-1.8643749899777684E-2</c:v>
                </c:pt>
                <c:pt idx="25">
                  <c:v>-2.39834261782777E-2</c:v>
                </c:pt>
                <c:pt idx="26">
                  <c:v>-2.3838496804625187E-2</c:v>
                </c:pt>
                <c:pt idx="27">
                  <c:v>-2.4824680774080482E-2</c:v>
                </c:pt>
                <c:pt idx="28">
                  <c:v>-1.4444412983312144E-2</c:v>
                </c:pt>
                <c:pt idx="29">
                  <c:v>-2.5540043452951272E-2</c:v>
                </c:pt>
                <c:pt idx="30">
                  <c:v>-2.8021630475701276E-2</c:v>
                </c:pt>
                <c:pt idx="31">
                  <c:v>-2.7944756612112792E-2</c:v>
                </c:pt>
                <c:pt idx="32">
                  <c:v>-1.9780001101578237E-2</c:v>
                </c:pt>
                <c:pt idx="33">
                  <c:v>-1.566639743456319E-2</c:v>
                </c:pt>
                <c:pt idx="34">
                  <c:v>-5.9309227939758485E-3</c:v>
                </c:pt>
                <c:pt idx="35">
                  <c:v>-3.9300396213477751E-5</c:v>
                </c:pt>
                <c:pt idx="36">
                  <c:v>3.2344964685786237E-3</c:v>
                </c:pt>
                <c:pt idx="37">
                  <c:v>1.0401586727118092E-3</c:v>
                </c:pt>
                <c:pt idx="38">
                  <c:v>-5.738095354491525E-3</c:v>
                </c:pt>
                <c:pt idx="39">
                  <c:v>-3.89167611407879E-3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623-43A3-B1F8-B6BABF041C6C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Spreadsheet9.1!$P$53:$P$93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-3.3857113250235216E-3</c:v>
                </c:pt>
                <c:pt idx="2">
                  <c:v>-1.6375114454154738E-2</c:v>
                </c:pt>
                <c:pt idx="3">
                  <c:v>-1.4222514511962714E-2</c:v>
                </c:pt>
                <c:pt idx="4">
                  <c:v>-2.4874431840229083E-2</c:v>
                </c:pt>
                <c:pt idx="5">
                  <c:v>-4.0764829724224572E-2</c:v>
                </c:pt>
                <c:pt idx="6">
                  <c:v>-6.8157447618801714E-2</c:v>
                </c:pt>
                <c:pt idx="7">
                  <c:v>-4.6222169384284806E-2</c:v>
                </c:pt>
                <c:pt idx="8">
                  <c:v>-5.1535597635643748E-2</c:v>
                </c:pt>
                <c:pt idx="9">
                  <c:v>-6.3799750143103962E-2</c:v>
                </c:pt>
                <c:pt idx="10">
                  <c:v>-6.9416256563528789E-2</c:v>
                </c:pt>
                <c:pt idx="11">
                  <c:v>-4.4103862681399708E-2</c:v>
                </c:pt>
                <c:pt idx="12">
                  <c:v>-3.7094218830278969E-2</c:v>
                </c:pt>
                <c:pt idx="13">
                  <c:v>-3.3769797850009164E-2</c:v>
                </c:pt>
                <c:pt idx="14">
                  <c:v>-4.8285199026390557E-2</c:v>
                </c:pt>
                <c:pt idx="15">
                  <c:v>-4.9018088098359613E-2</c:v>
                </c:pt>
                <c:pt idx="16">
                  <c:v>-3.4531270966831562E-2</c:v>
                </c:pt>
                <c:pt idx="17">
                  <c:v>-7.5710051597769057E-2</c:v>
                </c:pt>
                <c:pt idx="18">
                  <c:v>-6.1245001767837592E-2</c:v>
                </c:pt>
                <c:pt idx="19">
                  <c:v>-4.2354104334518972E-2</c:v>
                </c:pt>
                <c:pt idx="20">
                  <c:v>-3.5582375916627218E-2</c:v>
                </c:pt>
                <c:pt idx="21">
                  <c:v>-3.7374483033040418E-2</c:v>
                </c:pt>
                <c:pt idx="22">
                  <c:v>-4.1754456701864423E-2</c:v>
                </c:pt>
                <c:pt idx="23">
                  <c:v>-2.4706812877565792E-2</c:v>
                </c:pt>
                <c:pt idx="24">
                  <c:v>-9.0697367969796439E-3</c:v>
                </c:pt>
                <c:pt idx="25">
                  <c:v>7.9686483233468164E-4</c:v>
                </c:pt>
                <c:pt idx="26">
                  <c:v>-1.3147728778055978E-3</c:v>
                </c:pt>
                <c:pt idx="27">
                  <c:v>-5.0114975936621786E-3</c:v>
                </c:pt>
                <c:pt idx="28">
                  <c:v>-1.9396684486728516E-2</c:v>
                </c:pt>
                <c:pt idx="29">
                  <c:v>-2.9299974025699116E-2</c:v>
                </c:pt>
                <c:pt idx="30">
                  <c:v>-4.1921480037129519E-2</c:v>
                </c:pt>
                <c:pt idx="31">
                  <c:v>-4.1945482195092684E-2</c:v>
                </c:pt>
                <c:pt idx="32">
                  <c:v>-4.626840127472881E-2</c:v>
                </c:pt>
                <c:pt idx="33">
                  <c:v>-5.1675523371546184E-2</c:v>
                </c:pt>
                <c:pt idx="34">
                  <c:v>-5.3630288592894135E-2</c:v>
                </c:pt>
                <c:pt idx="35">
                  <c:v>-4.9783766940564821E-2</c:v>
                </c:pt>
                <c:pt idx="36">
                  <c:v>-3.9226460648098774E-2</c:v>
                </c:pt>
                <c:pt idx="37">
                  <c:v>-3.3668577046656732E-2</c:v>
                </c:pt>
                <c:pt idx="38">
                  <c:v>-2.6443022328581655E-2</c:v>
                </c:pt>
                <c:pt idx="39">
                  <c:v>-1.5052712125225257E-2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23-43A3-B1F8-B6BABF041C6C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Spreadsheet9.1!$Q$53:$Q$93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5.3881785021752282E-2</c:v>
                </c:pt>
                <c:pt idx="2">
                  <c:v>6.9887265482420857E-2</c:v>
                </c:pt>
                <c:pt idx="3">
                  <c:v>4.5509158124997451E-2</c:v>
                </c:pt>
                <c:pt idx="4">
                  <c:v>0.11049107789920232</c:v>
                </c:pt>
                <c:pt idx="5">
                  <c:v>9.7804450143924748E-2</c:v>
                </c:pt>
                <c:pt idx="6">
                  <c:v>2.7923852635767576E-2</c:v>
                </c:pt>
                <c:pt idx="7">
                  <c:v>6.0462988258521699E-3</c:v>
                </c:pt>
                <c:pt idx="8">
                  <c:v>1.9959819245707666E-2</c:v>
                </c:pt>
                <c:pt idx="9">
                  <c:v>7.2418974192262064E-3</c:v>
                </c:pt>
                <c:pt idx="10">
                  <c:v>-1.0462290150148601E-2</c:v>
                </c:pt>
                <c:pt idx="11">
                  <c:v>-1.3954167629595726E-2</c:v>
                </c:pt>
                <c:pt idx="12">
                  <c:v>-1.4504335165380688E-2</c:v>
                </c:pt>
                <c:pt idx="13">
                  <c:v>3.4224890922506412E-2</c:v>
                </c:pt>
                <c:pt idx="14">
                  <c:v>2.1615671271387138E-2</c:v>
                </c:pt>
                <c:pt idx="15">
                  <c:v>3.6171343545226164E-2</c:v>
                </c:pt>
                <c:pt idx="16">
                  <c:v>1.9450331139655108E-2</c:v>
                </c:pt>
                <c:pt idx="17">
                  <c:v>1.1168293015212938E-2</c:v>
                </c:pt>
                <c:pt idx="18">
                  <c:v>-4.6310872511957396E-2</c:v>
                </c:pt>
                <c:pt idx="19">
                  <c:v>-5.7817214157047242E-2</c:v>
                </c:pt>
                <c:pt idx="20">
                  <c:v>-6.9179814970451448E-2</c:v>
                </c:pt>
                <c:pt idx="21">
                  <c:v>-7.0559538829169682E-2</c:v>
                </c:pt>
                <c:pt idx="22">
                  <c:v>-4.8708427281284078E-2</c:v>
                </c:pt>
                <c:pt idx="23">
                  <c:v>-3.8256716320019257E-2</c:v>
                </c:pt>
                <c:pt idx="24">
                  <c:v>-2.9651925868453083E-2</c:v>
                </c:pt>
                <c:pt idx="25">
                  <c:v>-2.0777265651037879E-2</c:v>
                </c:pt>
                <c:pt idx="26">
                  <c:v>-4.0550355330407878E-2</c:v>
                </c:pt>
                <c:pt idx="27">
                  <c:v>-2.5030523119724313E-2</c:v>
                </c:pt>
                <c:pt idx="28">
                  <c:v>-2.2178841578629704E-2</c:v>
                </c:pt>
                <c:pt idx="29">
                  <c:v>-3.8363436172034471E-2</c:v>
                </c:pt>
                <c:pt idx="30">
                  <c:v>-3.2177760492546434E-2</c:v>
                </c:pt>
                <c:pt idx="31">
                  <c:v>-1.7426161507669458E-2</c:v>
                </c:pt>
                <c:pt idx="32">
                  <c:v>-1.6666195537221651E-2</c:v>
                </c:pt>
                <c:pt idx="33">
                  <c:v>-3.252697926052539E-3</c:v>
                </c:pt>
                <c:pt idx="34">
                  <c:v>-9.3538831549476453E-3</c:v>
                </c:pt>
                <c:pt idx="35">
                  <c:v>-1.4082910594971527E-2</c:v>
                </c:pt>
                <c:pt idx="36">
                  <c:v>-1.5122853741786256E-2</c:v>
                </c:pt>
                <c:pt idx="37">
                  <c:v>-1.0042624514100672E-2</c:v>
                </c:pt>
                <c:pt idx="38">
                  <c:v>-1.1696833614097499E-2</c:v>
                </c:pt>
                <c:pt idx="39">
                  <c:v>-4.1902337879383723E-3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623-43A3-B1F8-B6BABF041C6C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Spreadsheet9.1!$R$53:$R$93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1.0183409002003929E-2</c:v>
                </c:pt>
                <c:pt idx="2">
                  <c:v>-1.9361601931838779E-3</c:v>
                </c:pt>
                <c:pt idx="3">
                  <c:v>-3.2414858126243673E-2</c:v>
                </c:pt>
                <c:pt idx="4">
                  <c:v>-1.9504371920491148E-2</c:v>
                </c:pt>
                <c:pt idx="5">
                  <c:v>-2.6235371794925411E-2</c:v>
                </c:pt>
                <c:pt idx="6">
                  <c:v>-3.4858926031159754E-2</c:v>
                </c:pt>
                <c:pt idx="7">
                  <c:v>8.5703992818136898E-4</c:v>
                </c:pt>
                <c:pt idx="8">
                  <c:v>-8.2412375556180084E-3</c:v>
                </c:pt>
                <c:pt idx="9">
                  <c:v>-2.3123092617063634E-2</c:v>
                </c:pt>
                <c:pt idx="10">
                  <c:v>-3.0568249983220497E-2</c:v>
                </c:pt>
                <c:pt idx="11">
                  <c:v>-2.7847082964301551E-2</c:v>
                </c:pt>
                <c:pt idx="12">
                  <c:v>-4.2389394116898738E-2</c:v>
                </c:pt>
                <c:pt idx="13">
                  <c:v>-3.291344282176073E-2</c:v>
                </c:pt>
                <c:pt idx="14">
                  <c:v>3.9064370506251556E-3</c:v>
                </c:pt>
                <c:pt idx="15">
                  <c:v>1.5373929221048299E-2</c:v>
                </c:pt>
                <c:pt idx="16">
                  <c:v>3.6990021675539386E-2</c:v>
                </c:pt>
                <c:pt idx="17">
                  <c:v>3.962794053727714E-2</c:v>
                </c:pt>
                <c:pt idx="18">
                  <c:v>5.8664750118373687E-2</c:v>
                </c:pt>
                <c:pt idx="19">
                  <c:v>8.3135814917976197E-2</c:v>
                </c:pt>
                <c:pt idx="20">
                  <c:v>6.2787431387018894E-2</c:v>
                </c:pt>
                <c:pt idx="21">
                  <c:v>5.2659838988534657E-2</c:v>
                </c:pt>
                <c:pt idx="22">
                  <c:v>5.8917423879486452E-2</c:v>
                </c:pt>
                <c:pt idx="23">
                  <c:v>4.9083704980928955E-2</c:v>
                </c:pt>
                <c:pt idx="24">
                  <c:v>9.9850781355195206E-3</c:v>
                </c:pt>
                <c:pt idx="25">
                  <c:v>7.5671482091698994E-3</c:v>
                </c:pt>
                <c:pt idx="26">
                  <c:v>9.897251682829844E-3</c:v>
                </c:pt>
                <c:pt idx="27">
                  <c:v>8.4514918845271514E-4</c:v>
                </c:pt>
                <c:pt idx="28">
                  <c:v>9.1085037447111439E-3</c:v>
                </c:pt>
                <c:pt idx="29">
                  <c:v>2.6189520367874641E-2</c:v>
                </c:pt>
                <c:pt idx="30">
                  <c:v>4.488709379154826E-3</c:v>
                </c:pt>
                <c:pt idx="31">
                  <c:v>1.4052384931132922E-2</c:v>
                </c:pt>
                <c:pt idx="32">
                  <c:v>1.8322868267459658E-3</c:v>
                </c:pt>
                <c:pt idx="33">
                  <c:v>-2.2439426436659804E-3</c:v>
                </c:pt>
                <c:pt idx="34">
                  <c:v>-8.0250382234483414E-3</c:v>
                </c:pt>
                <c:pt idx="35">
                  <c:v>-5.4896650272273292E-3</c:v>
                </c:pt>
                <c:pt idx="36">
                  <c:v>-3.3609761990744808E-3</c:v>
                </c:pt>
                <c:pt idx="37">
                  <c:v>-3.8788877107586717E-3</c:v>
                </c:pt>
                <c:pt idx="38">
                  <c:v>3.3848861187749102E-5</c:v>
                </c:pt>
                <c:pt idx="39">
                  <c:v>2.0528613370010221E-3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623-43A3-B1F8-B6BABF041C6C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Spreadsheet9.1!$S$53:$S$93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1.8747594682284097E-2</c:v>
                </c:pt>
                <c:pt idx="2">
                  <c:v>-4.5184395245651543E-3</c:v>
                </c:pt>
                <c:pt idx="3">
                  <c:v>-1.1441348122132489E-2</c:v>
                </c:pt>
                <c:pt idx="4">
                  <c:v>-1.6687341696334845E-2</c:v>
                </c:pt>
                <c:pt idx="5">
                  <c:v>-1.2569026594084209E-2</c:v>
                </c:pt>
                <c:pt idx="6">
                  <c:v>-3.0835821226830762E-2</c:v>
                </c:pt>
                <c:pt idx="7">
                  <c:v>-3.4607161688095023E-2</c:v>
                </c:pt>
                <c:pt idx="8">
                  <c:v>-3.4504975267771854E-2</c:v>
                </c:pt>
                <c:pt idx="9">
                  <c:v>2.7477706047598416E-2</c:v>
                </c:pt>
                <c:pt idx="10">
                  <c:v>2.0434931134999057E-2</c:v>
                </c:pt>
                <c:pt idx="11">
                  <c:v>8.9997778960776986E-3</c:v>
                </c:pt>
                <c:pt idx="12">
                  <c:v>-1.495112132925186E-2</c:v>
                </c:pt>
                <c:pt idx="13">
                  <c:v>-3.2319240934934546E-2</c:v>
                </c:pt>
                <c:pt idx="14">
                  <c:v>-2.1191638567211513E-2</c:v>
                </c:pt>
                <c:pt idx="15">
                  <c:v>-3.9905164167715057E-2</c:v>
                </c:pt>
                <c:pt idx="16">
                  <c:v>-2.8568359484344774E-2</c:v>
                </c:pt>
                <c:pt idx="17">
                  <c:v>-2.8533101377203329E-2</c:v>
                </c:pt>
                <c:pt idx="18">
                  <c:v>-5.2553656118611014E-3</c:v>
                </c:pt>
                <c:pt idx="19">
                  <c:v>7.2366184055021598E-3</c:v>
                </c:pt>
                <c:pt idx="20">
                  <c:v>-6.1315790113810331E-3</c:v>
                </c:pt>
                <c:pt idx="21">
                  <c:v>-1.4885824000968245E-2</c:v>
                </c:pt>
                <c:pt idx="22">
                  <c:v>1.2856816885302186E-2</c:v>
                </c:pt>
                <c:pt idx="23">
                  <c:v>1.7800565131024682E-2</c:v>
                </c:pt>
                <c:pt idx="24">
                  <c:v>2.1911735904296709E-2</c:v>
                </c:pt>
                <c:pt idx="25">
                  <c:v>9.0056585623725649E-3</c:v>
                </c:pt>
                <c:pt idx="26">
                  <c:v>-1.1824805546236661E-3</c:v>
                </c:pt>
                <c:pt idx="27">
                  <c:v>1.8136522999695093E-2</c:v>
                </c:pt>
                <c:pt idx="28">
                  <c:v>2.24193437412393E-2</c:v>
                </c:pt>
                <c:pt idx="29">
                  <c:v>2.1231249793579904E-2</c:v>
                </c:pt>
                <c:pt idx="30">
                  <c:v>9.7753725238270417E-3</c:v>
                </c:pt>
                <c:pt idx="31">
                  <c:v>2.2041462394531364E-2</c:v>
                </c:pt>
                <c:pt idx="32">
                  <c:v>2.6284776661398154E-2</c:v>
                </c:pt>
                <c:pt idx="33">
                  <c:v>2.8523408316956086E-2</c:v>
                </c:pt>
                <c:pt idx="34">
                  <c:v>2.5639898946124548E-2</c:v>
                </c:pt>
                <c:pt idx="35">
                  <c:v>2.9983220608198108E-2</c:v>
                </c:pt>
                <c:pt idx="36">
                  <c:v>2.6420330819021648E-2</c:v>
                </c:pt>
                <c:pt idx="37">
                  <c:v>2.2614336432137117E-2</c:v>
                </c:pt>
                <c:pt idx="38">
                  <c:v>1.6571597569577289E-2</c:v>
                </c:pt>
                <c:pt idx="39">
                  <c:v>9.4703165769991493E-3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623-43A3-B1F8-B6BABF041C6C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Spreadsheet9.1!$T$53:$T$93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-2.2226947938576269E-2</c:v>
                </c:pt>
                <c:pt idx="2">
                  <c:v>-1.1908890323870047E-2</c:v>
                </c:pt>
                <c:pt idx="3">
                  <c:v>-3.1737588504526515E-2</c:v>
                </c:pt>
                <c:pt idx="4">
                  <c:v>-3.1162646769642754E-2</c:v>
                </c:pt>
                <c:pt idx="5">
                  <c:v>-1.6719694605920044E-2</c:v>
                </c:pt>
                <c:pt idx="6">
                  <c:v>-1.1477732913400263E-2</c:v>
                </c:pt>
                <c:pt idx="7">
                  <c:v>-3.0158179827282749E-2</c:v>
                </c:pt>
                <c:pt idx="8">
                  <c:v>-2.4533319722605806E-2</c:v>
                </c:pt>
                <c:pt idx="9">
                  <c:v>-4.392726354735299E-2</c:v>
                </c:pt>
                <c:pt idx="10">
                  <c:v>-3.5639450554590946E-2</c:v>
                </c:pt>
                <c:pt idx="11">
                  <c:v>-5.7035094028840716E-2</c:v>
                </c:pt>
                <c:pt idx="12">
                  <c:v>-2.6585686932890651E-3</c:v>
                </c:pt>
                <c:pt idx="13">
                  <c:v>1.6398987610665883E-2</c:v>
                </c:pt>
                <c:pt idx="14">
                  <c:v>-3.3558047055352591E-3</c:v>
                </c:pt>
                <c:pt idx="15">
                  <c:v>-1.4594513596876468E-2</c:v>
                </c:pt>
                <c:pt idx="16">
                  <c:v>-6.958639283547452E-4</c:v>
                </c:pt>
                <c:pt idx="17">
                  <c:v>2.1423715115802378E-2</c:v>
                </c:pt>
                <c:pt idx="18">
                  <c:v>4.5359613111123354E-3</c:v>
                </c:pt>
                <c:pt idx="19">
                  <c:v>-1.7731128185817763E-2</c:v>
                </c:pt>
                <c:pt idx="20">
                  <c:v>-1.8303131060975059E-2</c:v>
                </c:pt>
                <c:pt idx="21">
                  <c:v>-1.8521383688066329E-2</c:v>
                </c:pt>
                <c:pt idx="22">
                  <c:v>-4.8604961641514177E-2</c:v>
                </c:pt>
                <c:pt idx="23">
                  <c:v>-3.4255856962632447E-2</c:v>
                </c:pt>
                <c:pt idx="24">
                  <c:v>-3.7782709262877995E-2</c:v>
                </c:pt>
                <c:pt idx="25">
                  <c:v>-2.502102297408304E-2</c:v>
                </c:pt>
                <c:pt idx="26">
                  <c:v>3.6500543682592701E-3</c:v>
                </c:pt>
                <c:pt idx="27">
                  <c:v>1.1287890346175389E-2</c:v>
                </c:pt>
                <c:pt idx="28">
                  <c:v>1.4285592975316064E-3</c:v>
                </c:pt>
                <c:pt idx="29">
                  <c:v>1.1235289614933419E-2</c:v>
                </c:pt>
                <c:pt idx="30">
                  <c:v>1.8315479674467505E-4</c:v>
                </c:pt>
                <c:pt idx="31">
                  <c:v>2.4256329737467275E-2</c:v>
                </c:pt>
                <c:pt idx="32">
                  <c:v>1.7744714640122353E-2</c:v>
                </c:pt>
                <c:pt idx="33">
                  <c:v>1.3415409089336361E-2</c:v>
                </c:pt>
                <c:pt idx="34">
                  <c:v>2.4561642138860099E-2</c:v>
                </c:pt>
                <c:pt idx="35">
                  <c:v>2.9870936576901569E-2</c:v>
                </c:pt>
                <c:pt idx="36">
                  <c:v>1.7664751690571759E-2</c:v>
                </c:pt>
                <c:pt idx="37">
                  <c:v>7.7061485267853752E-3</c:v>
                </c:pt>
                <c:pt idx="38">
                  <c:v>1.6866568840308259E-3</c:v>
                </c:pt>
                <c:pt idx="39">
                  <c:v>1.1785498862895705E-5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623-43A3-B1F8-B6BABF041C6C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Spreadsheet9.1!$U$53:$U$93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-4.215029188055408E-2</c:v>
                </c:pt>
                <c:pt idx="2">
                  <c:v>-5.9704025536531313E-2</c:v>
                </c:pt>
                <c:pt idx="3">
                  <c:v>-6.2642763413838731E-2</c:v>
                </c:pt>
                <c:pt idx="4">
                  <c:v>-7.206514407939113E-2</c:v>
                </c:pt>
                <c:pt idx="5">
                  <c:v>-7.2257128407037075E-2</c:v>
                </c:pt>
                <c:pt idx="6">
                  <c:v>-8.6480157614596431E-2</c:v>
                </c:pt>
                <c:pt idx="7">
                  <c:v>-8.2185744086420542E-2</c:v>
                </c:pt>
                <c:pt idx="8">
                  <c:v>-6.1119698488195373E-2</c:v>
                </c:pt>
                <c:pt idx="9">
                  <c:v>-6.8778734142637743E-2</c:v>
                </c:pt>
                <c:pt idx="10">
                  <c:v>-9.7379256626503596E-2</c:v>
                </c:pt>
                <c:pt idx="11">
                  <c:v>-8.7079062674593644E-2</c:v>
                </c:pt>
                <c:pt idx="12">
                  <c:v>-8.2756098436944481E-2</c:v>
                </c:pt>
                <c:pt idx="13">
                  <c:v>-8.2772169738157375E-2</c:v>
                </c:pt>
                <c:pt idx="14">
                  <c:v>-8.4375196013005915E-2</c:v>
                </c:pt>
                <c:pt idx="15">
                  <c:v>-7.7426277563231394E-2</c:v>
                </c:pt>
                <c:pt idx="16">
                  <c:v>-6.1617102657567119E-2</c:v>
                </c:pt>
                <c:pt idx="17">
                  <c:v>-5.7691062943407978E-2</c:v>
                </c:pt>
                <c:pt idx="18">
                  <c:v>-2.6050429200422304E-2</c:v>
                </c:pt>
                <c:pt idx="19">
                  <c:v>1.6995303817504137E-3</c:v>
                </c:pt>
                <c:pt idx="20">
                  <c:v>2.6700077420399038E-3</c:v>
                </c:pt>
                <c:pt idx="21">
                  <c:v>-5.0226272885272039E-3</c:v>
                </c:pt>
                <c:pt idx="22">
                  <c:v>-2.939493779193586E-3</c:v>
                </c:pt>
                <c:pt idx="23">
                  <c:v>2.8175309293601125E-2</c:v>
                </c:pt>
                <c:pt idx="24">
                  <c:v>6.7640726238822058E-3</c:v>
                </c:pt>
                <c:pt idx="25">
                  <c:v>1.0480269726038549E-2</c:v>
                </c:pt>
                <c:pt idx="26">
                  <c:v>3.0744432642205222E-2</c:v>
                </c:pt>
                <c:pt idx="27">
                  <c:v>2.4806789191913259E-2</c:v>
                </c:pt>
                <c:pt idx="28">
                  <c:v>3.1830446885488445E-2</c:v>
                </c:pt>
                <c:pt idx="29">
                  <c:v>2.2574438542262515E-2</c:v>
                </c:pt>
                <c:pt idx="30">
                  <c:v>2.111193100229232E-2</c:v>
                </c:pt>
                <c:pt idx="31">
                  <c:v>2.0865801722679822E-2</c:v>
                </c:pt>
                <c:pt idx="32">
                  <c:v>3.1249219715423146E-2</c:v>
                </c:pt>
                <c:pt idx="33">
                  <c:v>1.8324358488893022E-2</c:v>
                </c:pt>
                <c:pt idx="34">
                  <c:v>1.6431900470531141E-3</c:v>
                </c:pt>
                <c:pt idx="35">
                  <c:v>-1.7623661185749082E-3</c:v>
                </c:pt>
                <c:pt idx="36">
                  <c:v>4.1935704980772537E-3</c:v>
                </c:pt>
                <c:pt idx="37">
                  <c:v>2.0379457654097211E-3</c:v>
                </c:pt>
                <c:pt idx="38">
                  <c:v>4.2946841570689342E-3</c:v>
                </c:pt>
                <c:pt idx="39">
                  <c:v>2.2095580900424946E-3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623-43A3-B1F8-B6BABF041C6C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Spreadsheet9.1!$V$53:$V$93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-1.3102346497222861E-2</c:v>
                </c:pt>
                <c:pt idx="2">
                  <c:v>-4.2911544181803984E-3</c:v>
                </c:pt>
                <c:pt idx="3">
                  <c:v>9.6314757312312982E-3</c:v>
                </c:pt>
                <c:pt idx="4">
                  <c:v>-1.0750806801375079E-2</c:v>
                </c:pt>
                <c:pt idx="5">
                  <c:v>3.4709686230077752E-4</c:v>
                </c:pt>
                <c:pt idx="6">
                  <c:v>-1.3987718745649802E-2</c:v>
                </c:pt>
                <c:pt idx="7">
                  <c:v>-5.4637351105450982E-3</c:v>
                </c:pt>
                <c:pt idx="8">
                  <c:v>3.6415321504190301E-2</c:v>
                </c:pt>
                <c:pt idx="9">
                  <c:v>9.2644472120485266E-2</c:v>
                </c:pt>
                <c:pt idx="10">
                  <c:v>5.8258826497443017E-2</c:v>
                </c:pt>
                <c:pt idx="11">
                  <c:v>9.2302807273102028E-2</c:v>
                </c:pt>
                <c:pt idx="12">
                  <c:v>6.8457643400467505E-2</c:v>
                </c:pt>
                <c:pt idx="13">
                  <c:v>1.6083696870972275E-2</c:v>
                </c:pt>
                <c:pt idx="14">
                  <c:v>3.501641314175935E-2</c:v>
                </c:pt>
                <c:pt idx="15">
                  <c:v>2.749442965149218E-2</c:v>
                </c:pt>
                <c:pt idx="16">
                  <c:v>-9.4980726516702974E-3</c:v>
                </c:pt>
                <c:pt idx="17">
                  <c:v>-4.1801343583409201E-2</c:v>
                </c:pt>
                <c:pt idx="18">
                  <c:v>-5.0774317766758059E-2</c:v>
                </c:pt>
                <c:pt idx="19">
                  <c:v>-9.9943492659260169E-3</c:v>
                </c:pt>
                <c:pt idx="20">
                  <c:v>-2.7476459302691741E-2</c:v>
                </c:pt>
                <c:pt idx="21">
                  <c:v>-3.22947841268236E-2</c:v>
                </c:pt>
                <c:pt idx="22">
                  <c:v>-3.1785438722556514E-2</c:v>
                </c:pt>
                <c:pt idx="23">
                  <c:v>-2.8178139847156891E-2</c:v>
                </c:pt>
                <c:pt idx="24">
                  <c:v>-2.1433264483685682E-2</c:v>
                </c:pt>
                <c:pt idx="25">
                  <c:v>-7.1007887342940945E-3</c:v>
                </c:pt>
                <c:pt idx="26">
                  <c:v>-3.7678264185291993E-2</c:v>
                </c:pt>
                <c:pt idx="27">
                  <c:v>-2.8721209250526819E-2</c:v>
                </c:pt>
                <c:pt idx="28">
                  <c:v>-1.1766666139254728E-2</c:v>
                </c:pt>
                <c:pt idx="29">
                  <c:v>-4.7064402317865961E-3</c:v>
                </c:pt>
                <c:pt idx="30">
                  <c:v>-2.7238706397575418E-4</c:v>
                </c:pt>
                <c:pt idx="31">
                  <c:v>-3.0158609867370068E-4</c:v>
                </c:pt>
                <c:pt idx="32">
                  <c:v>4.246684686774721E-3</c:v>
                </c:pt>
                <c:pt idx="33">
                  <c:v>1.0810395312325194E-2</c:v>
                </c:pt>
                <c:pt idx="34">
                  <c:v>2.3886464654468711E-2</c:v>
                </c:pt>
                <c:pt idx="35">
                  <c:v>1.492805779544043E-2</c:v>
                </c:pt>
                <c:pt idx="36">
                  <c:v>1.3008845341239611E-2</c:v>
                </c:pt>
                <c:pt idx="37">
                  <c:v>3.0119296975621435E-3</c:v>
                </c:pt>
                <c:pt idx="38">
                  <c:v>1.2785042382408296E-3</c:v>
                </c:pt>
                <c:pt idx="39">
                  <c:v>-6.9974380288497125E-4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623-43A3-B1F8-B6BABF041C6C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Spreadsheet9.1!$W$53:$W$93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1.0022892952589957E-2</c:v>
                </c:pt>
                <c:pt idx="2">
                  <c:v>6.6676907309836664E-2</c:v>
                </c:pt>
                <c:pt idx="3">
                  <c:v>6.1845120959343025E-2</c:v>
                </c:pt>
                <c:pt idx="4">
                  <c:v>5.9702147496099311E-2</c:v>
                </c:pt>
                <c:pt idx="5">
                  <c:v>7.8358331065589704E-2</c:v>
                </c:pt>
                <c:pt idx="6">
                  <c:v>0.10487130439794523</c:v>
                </c:pt>
                <c:pt idx="7">
                  <c:v>7.9591801027611764E-2</c:v>
                </c:pt>
                <c:pt idx="8">
                  <c:v>4.9373014568907747E-2</c:v>
                </c:pt>
                <c:pt idx="9">
                  <c:v>5.3209752948952249E-2</c:v>
                </c:pt>
                <c:pt idx="10">
                  <c:v>2.7727057413061806E-2</c:v>
                </c:pt>
                <c:pt idx="11">
                  <c:v>1.8843466586165092E-2</c:v>
                </c:pt>
                <c:pt idx="12">
                  <c:v>1.2445606817352017E-2</c:v>
                </c:pt>
                <c:pt idx="13">
                  <c:v>1.1664515627128835E-2</c:v>
                </c:pt>
                <c:pt idx="14">
                  <c:v>-7.4355235419119592E-3</c:v>
                </c:pt>
                <c:pt idx="15">
                  <c:v>-4.5266235544939415E-2</c:v>
                </c:pt>
                <c:pt idx="16">
                  <c:v>-5.94006872681343E-2</c:v>
                </c:pt>
                <c:pt idx="17">
                  <c:v>-6.4245025803221445E-2</c:v>
                </c:pt>
                <c:pt idx="18">
                  <c:v>-6.3613047791108962E-2</c:v>
                </c:pt>
                <c:pt idx="19">
                  <c:v>-4.858354015734373E-2</c:v>
                </c:pt>
                <c:pt idx="20">
                  <c:v>-6.1687158756716431E-2</c:v>
                </c:pt>
                <c:pt idx="21">
                  <c:v>-3.3112385756541657E-2</c:v>
                </c:pt>
                <c:pt idx="22">
                  <c:v>-3.0282596674525208E-2</c:v>
                </c:pt>
                <c:pt idx="23">
                  <c:v>-6.5864044750597039E-3</c:v>
                </c:pt>
                <c:pt idx="24">
                  <c:v>2.1888336001517739E-2</c:v>
                </c:pt>
                <c:pt idx="25">
                  <c:v>-3.9302525624773377E-3</c:v>
                </c:pt>
                <c:pt idx="26">
                  <c:v>-5.3617945108035969E-3</c:v>
                </c:pt>
                <c:pt idx="27">
                  <c:v>-1.0502830620195303E-2</c:v>
                </c:pt>
                <c:pt idx="28">
                  <c:v>1.4155466342779505E-2</c:v>
                </c:pt>
                <c:pt idx="29">
                  <c:v>1.9453375183437427E-2</c:v>
                </c:pt>
                <c:pt idx="30">
                  <c:v>1.1069162503967889E-2</c:v>
                </c:pt>
                <c:pt idx="31">
                  <c:v>2.1021170272595591E-2</c:v>
                </c:pt>
                <c:pt idx="32">
                  <c:v>1.8596021131391305E-2</c:v>
                </c:pt>
                <c:pt idx="33">
                  <c:v>1.0909060682922772E-2</c:v>
                </c:pt>
                <c:pt idx="34">
                  <c:v>1.737297671498661E-2</c:v>
                </c:pt>
                <c:pt idx="35">
                  <c:v>1.4342528950582502E-2</c:v>
                </c:pt>
                <c:pt idx="36">
                  <c:v>1.3670948620380756E-2</c:v>
                </c:pt>
                <c:pt idx="37">
                  <c:v>8.8528533182703276E-3</c:v>
                </c:pt>
                <c:pt idx="38">
                  <c:v>7.4513755686082539E-3</c:v>
                </c:pt>
                <c:pt idx="39">
                  <c:v>5.4574937570346198E-3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623-43A3-B1F8-B6BABF041C6C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Spreadsheet9.1!$X$53:$X$93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-3.9230494296720542E-2</c:v>
                </c:pt>
                <c:pt idx="2">
                  <c:v>-7.595798271361931E-2</c:v>
                </c:pt>
                <c:pt idx="3">
                  <c:v>-6.2761119761067463E-2</c:v>
                </c:pt>
                <c:pt idx="4">
                  <c:v>-4.6180997344237751E-2</c:v>
                </c:pt>
                <c:pt idx="5">
                  <c:v>-2.6120103541486916E-2</c:v>
                </c:pt>
                <c:pt idx="6">
                  <c:v>-3.6526229772543162E-2</c:v>
                </c:pt>
                <c:pt idx="7">
                  <c:v>-1.1805994437154299E-2</c:v>
                </c:pt>
                <c:pt idx="8">
                  <c:v>-4.5193483793680433E-2</c:v>
                </c:pt>
                <c:pt idx="9">
                  <c:v>-1.2596640525447733E-2</c:v>
                </c:pt>
                <c:pt idx="10">
                  <c:v>-2.1382720643751685E-3</c:v>
                </c:pt>
                <c:pt idx="11">
                  <c:v>-1.0205390034630002E-2</c:v>
                </c:pt>
                <c:pt idx="12">
                  <c:v>1.0195004388240836E-2</c:v>
                </c:pt>
                <c:pt idx="13">
                  <c:v>-3.9197572202542275E-3</c:v>
                </c:pt>
                <c:pt idx="14">
                  <c:v>-2.9471957182512276E-2</c:v>
                </c:pt>
                <c:pt idx="15">
                  <c:v>-3.7669732934233535E-2</c:v>
                </c:pt>
                <c:pt idx="16">
                  <c:v>-1.6126134394905012E-2</c:v>
                </c:pt>
                <c:pt idx="17">
                  <c:v>-1.8922380074533868E-2</c:v>
                </c:pt>
                <c:pt idx="18">
                  <c:v>-1.5137552380662944E-2</c:v>
                </c:pt>
                <c:pt idx="19">
                  <c:v>-2.9770340800169187E-2</c:v>
                </c:pt>
                <c:pt idx="20">
                  <c:v>-4.5192800465687882E-2</c:v>
                </c:pt>
                <c:pt idx="21">
                  <c:v>-6.2617531199892412E-2</c:v>
                </c:pt>
                <c:pt idx="22">
                  <c:v>-6.2873881141731425E-2</c:v>
                </c:pt>
                <c:pt idx="23">
                  <c:v>-5.7933860851628549E-2</c:v>
                </c:pt>
                <c:pt idx="24">
                  <c:v>-5.6018114188188167E-2</c:v>
                </c:pt>
                <c:pt idx="25">
                  <c:v>-4.4200666859598725E-2</c:v>
                </c:pt>
                <c:pt idx="26">
                  <c:v>-5.3226503567632144E-2</c:v>
                </c:pt>
                <c:pt idx="27">
                  <c:v>-5.018462877064539E-2</c:v>
                </c:pt>
                <c:pt idx="28">
                  <c:v>-5.4107872835512633E-2</c:v>
                </c:pt>
                <c:pt idx="29">
                  <c:v>-5.1178128552723315E-2</c:v>
                </c:pt>
                <c:pt idx="30">
                  <c:v>-3.646015939063979E-2</c:v>
                </c:pt>
                <c:pt idx="31">
                  <c:v>-3.0454642893267908E-2</c:v>
                </c:pt>
                <c:pt idx="32">
                  <c:v>-2.703867591193175E-2</c:v>
                </c:pt>
                <c:pt idx="33">
                  <c:v>-2.5739398544822059E-2</c:v>
                </c:pt>
                <c:pt idx="34">
                  <c:v>-2.997831393471663E-2</c:v>
                </c:pt>
                <c:pt idx="35">
                  <c:v>-1.741772206403791E-2</c:v>
                </c:pt>
                <c:pt idx="36">
                  <c:v>-7.5806892846143892E-3</c:v>
                </c:pt>
                <c:pt idx="37">
                  <c:v>-1.0625940555280745E-2</c:v>
                </c:pt>
                <c:pt idx="38">
                  <c:v>-7.0948218649196475E-3</c:v>
                </c:pt>
                <c:pt idx="39">
                  <c:v>-2.9825951157713936E-3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23-43A3-B1F8-B6BABF041C6C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Spreadsheet9.1!$Y$53:$Y$93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3.4766694129784448E-2</c:v>
                </c:pt>
                <c:pt idx="2">
                  <c:v>4.831335521021457E-2</c:v>
                </c:pt>
                <c:pt idx="3">
                  <c:v>2.6450306484015307E-2</c:v>
                </c:pt>
                <c:pt idx="4">
                  <c:v>-1.1273907641304426E-2</c:v>
                </c:pt>
                <c:pt idx="5">
                  <c:v>-3.6021009320300945E-2</c:v>
                </c:pt>
                <c:pt idx="6">
                  <c:v>-4.5845608630670998E-2</c:v>
                </c:pt>
                <c:pt idx="7">
                  <c:v>-6.0194793107177236E-2</c:v>
                </c:pt>
                <c:pt idx="8">
                  <c:v>-5.5501163522075458E-2</c:v>
                </c:pt>
                <c:pt idx="9">
                  <c:v>-9.3380925830279127E-2</c:v>
                </c:pt>
                <c:pt idx="10">
                  <c:v>-0.11982883777204362</c:v>
                </c:pt>
                <c:pt idx="11">
                  <c:v>-0.13879791857102602</c:v>
                </c:pt>
                <c:pt idx="12">
                  <c:v>-0.15006268812222384</c:v>
                </c:pt>
                <c:pt idx="13">
                  <c:v>-0.17251648148376691</c:v>
                </c:pt>
                <c:pt idx="14">
                  <c:v>-0.16052694755266195</c:v>
                </c:pt>
                <c:pt idx="15">
                  <c:v>-0.15220374522480251</c:v>
                </c:pt>
                <c:pt idx="16">
                  <c:v>-0.15242673792215625</c:v>
                </c:pt>
                <c:pt idx="17">
                  <c:v>-0.12963262795262029</c:v>
                </c:pt>
                <c:pt idx="18">
                  <c:v>-0.10778264380179761</c:v>
                </c:pt>
                <c:pt idx="19">
                  <c:v>-0.13762042322653079</c:v>
                </c:pt>
                <c:pt idx="20">
                  <c:v>-0.12995646046555556</c:v>
                </c:pt>
                <c:pt idx="21">
                  <c:v>-0.12919400010412818</c:v>
                </c:pt>
                <c:pt idx="22">
                  <c:v>-0.1223040309203226</c:v>
                </c:pt>
                <c:pt idx="23">
                  <c:v>-0.12052514983068727</c:v>
                </c:pt>
                <c:pt idx="24">
                  <c:v>-0.13332258707292693</c:v>
                </c:pt>
                <c:pt idx="25">
                  <c:v>-0.11254989257817125</c:v>
                </c:pt>
                <c:pt idx="26">
                  <c:v>-7.9146170945582961E-2</c:v>
                </c:pt>
                <c:pt idx="27">
                  <c:v>-6.3837266554913286E-2</c:v>
                </c:pt>
                <c:pt idx="28">
                  <c:v>-5.3261043494688687E-2</c:v>
                </c:pt>
                <c:pt idx="29">
                  <c:v>-5.0836631898484058E-2</c:v>
                </c:pt>
                <c:pt idx="30">
                  <c:v>-5.1908753213550429E-2</c:v>
                </c:pt>
                <c:pt idx="31">
                  <c:v>-5.2188175126103228E-2</c:v>
                </c:pt>
                <c:pt idx="32">
                  <c:v>-4.213437368512514E-2</c:v>
                </c:pt>
                <c:pt idx="33">
                  <c:v>-2.919848059792958E-2</c:v>
                </c:pt>
                <c:pt idx="34">
                  <c:v>-2.8930395887046295E-2</c:v>
                </c:pt>
                <c:pt idx="35">
                  <c:v>-1.4757970784915718E-2</c:v>
                </c:pt>
                <c:pt idx="36">
                  <c:v>-1.0262328281965813E-2</c:v>
                </c:pt>
                <c:pt idx="37">
                  <c:v>-9.41197204896594E-3</c:v>
                </c:pt>
                <c:pt idx="38">
                  <c:v>-4.6287115621765698E-3</c:v>
                </c:pt>
                <c:pt idx="39">
                  <c:v>-5.6983576412812289E-3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623-43A3-B1F8-B6BABF041C6C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Spreadsheet9.1!$Z$53:$Z$93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-5.1305316593776518E-2</c:v>
                </c:pt>
                <c:pt idx="2">
                  <c:v>-0.10001589699814784</c:v>
                </c:pt>
                <c:pt idx="3">
                  <c:v>-9.3123119065929183E-2</c:v>
                </c:pt>
                <c:pt idx="4">
                  <c:v>-0.10524947441976878</c:v>
                </c:pt>
                <c:pt idx="5">
                  <c:v>-0.10584908332458409</c:v>
                </c:pt>
                <c:pt idx="6">
                  <c:v>-0.12346854906799459</c:v>
                </c:pt>
                <c:pt idx="7">
                  <c:v>-0.13290625656433674</c:v>
                </c:pt>
                <c:pt idx="8">
                  <c:v>-0.16118532130051111</c:v>
                </c:pt>
                <c:pt idx="9">
                  <c:v>-0.18495163812753307</c:v>
                </c:pt>
                <c:pt idx="10">
                  <c:v>-0.18645357125942924</c:v>
                </c:pt>
                <c:pt idx="11">
                  <c:v>-0.16245328388885877</c:v>
                </c:pt>
                <c:pt idx="12">
                  <c:v>-0.1714788477187269</c:v>
                </c:pt>
                <c:pt idx="13">
                  <c:v>-0.15889078564243175</c:v>
                </c:pt>
                <c:pt idx="14">
                  <c:v>-0.16981375164857992</c:v>
                </c:pt>
                <c:pt idx="15">
                  <c:v>-0.14891648194724272</c:v>
                </c:pt>
                <c:pt idx="16">
                  <c:v>-0.12700109371481638</c:v>
                </c:pt>
                <c:pt idx="17">
                  <c:v>-0.1062223743524143</c:v>
                </c:pt>
                <c:pt idx="18">
                  <c:v>-0.12489502909798658</c:v>
                </c:pt>
                <c:pt idx="19">
                  <c:v>-0.10986933945212765</c:v>
                </c:pt>
                <c:pt idx="20">
                  <c:v>-9.0496236399090713E-2</c:v>
                </c:pt>
                <c:pt idx="21">
                  <c:v>-7.6929322667402489E-2</c:v>
                </c:pt>
                <c:pt idx="22">
                  <c:v>-6.7915602792233964E-2</c:v>
                </c:pt>
                <c:pt idx="23">
                  <c:v>-4.3628433402151251E-2</c:v>
                </c:pt>
                <c:pt idx="24">
                  <c:v>-2.0450313533105779E-2</c:v>
                </c:pt>
                <c:pt idx="25">
                  <c:v>-1.8057957290153054E-2</c:v>
                </c:pt>
                <c:pt idx="26">
                  <c:v>-1.1307295461608552E-2</c:v>
                </c:pt>
                <c:pt idx="27">
                  <c:v>-2.9152541490827077E-2</c:v>
                </c:pt>
                <c:pt idx="28">
                  <c:v>-3.9572066906310821E-2</c:v>
                </c:pt>
                <c:pt idx="29">
                  <c:v>-2.6985915972074642E-2</c:v>
                </c:pt>
                <c:pt idx="30">
                  <c:v>-1.328125255884624E-2</c:v>
                </c:pt>
                <c:pt idx="31">
                  <c:v>-2.3747660003781382E-2</c:v>
                </c:pt>
                <c:pt idx="32">
                  <c:v>-3.0721397285025306E-2</c:v>
                </c:pt>
                <c:pt idx="33">
                  <c:v>-2.5677984775021784E-2</c:v>
                </c:pt>
                <c:pt idx="34">
                  <c:v>-2.8057945943703769E-2</c:v>
                </c:pt>
                <c:pt idx="35">
                  <c:v>-2.6661442939542208E-2</c:v>
                </c:pt>
                <c:pt idx="36">
                  <c:v>-2.2166607100830626E-2</c:v>
                </c:pt>
                <c:pt idx="37">
                  <c:v>-1.1722003841065254E-2</c:v>
                </c:pt>
                <c:pt idx="38">
                  <c:v>-3.6252467495319074E-3</c:v>
                </c:pt>
                <c:pt idx="39">
                  <c:v>-4.8118972289590018E-3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623-43A3-B1F8-B6BABF041C6C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Spreadsheet9.1!$AA$53:$AA$93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-5.0016016035553945E-3</c:v>
                </c:pt>
                <c:pt idx="2">
                  <c:v>2.5771380469803817E-2</c:v>
                </c:pt>
                <c:pt idx="3">
                  <c:v>2.4419272053075536E-2</c:v>
                </c:pt>
                <c:pt idx="4">
                  <c:v>4.4713317955168863E-2</c:v>
                </c:pt>
                <c:pt idx="5">
                  <c:v>4.6610254035747145E-3</c:v>
                </c:pt>
                <c:pt idx="6">
                  <c:v>8.6194845025462374E-3</c:v>
                </c:pt>
                <c:pt idx="7">
                  <c:v>-2.3987002195774987E-3</c:v>
                </c:pt>
                <c:pt idx="8">
                  <c:v>9.5676743099367689E-3</c:v>
                </c:pt>
                <c:pt idx="9">
                  <c:v>3.0739630697110054E-2</c:v>
                </c:pt>
                <c:pt idx="10">
                  <c:v>1.8475186034676128E-2</c:v>
                </c:pt>
                <c:pt idx="11">
                  <c:v>6.6916387547621969E-4</c:v>
                </c:pt>
                <c:pt idx="12">
                  <c:v>-1.9292027183826999E-2</c:v>
                </c:pt>
                <c:pt idx="13">
                  <c:v>-5.5590904579322253E-2</c:v>
                </c:pt>
                <c:pt idx="14">
                  <c:v>-5.754330637746552E-2</c:v>
                </c:pt>
                <c:pt idx="15">
                  <c:v>-6.4584610112515484E-2</c:v>
                </c:pt>
                <c:pt idx="16">
                  <c:v>-6.7491246861584531E-2</c:v>
                </c:pt>
                <c:pt idx="17">
                  <c:v>-5.3747299955090228E-2</c:v>
                </c:pt>
                <c:pt idx="18">
                  <c:v>-5.8999361381281534E-2</c:v>
                </c:pt>
                <c:pt idx="19">
                  <c:v>-6.4968942927491891E-2</c:v>
                </c:pt>
                <c:pt idx="20">
                  <c:v>-7.0622582235335435E-2</c:v>
                </c:pt>
                <c:pt idx="21">
                  <c:v>-7.2859973191991945E-2</c:v>
                </c:pt>
                <c:pt idx="22">
                  <c:v>-6.4370472585128652E-2</c:v>
                </c:pt>
                <c:pt idx="23">
                  <c:v>-8.8343239991483968E-2</c:v>
                </c:pt>
                <c:pt idx="24">
                  <c:v>-9.2706534036683108E-2</c:v>
                </c:pt>
                <c:pt idx="25">
                  <c:v>-0.11320834861251916</c:v>
                </c:pt>
                <c:pt idx="26">
                  <c:v>-0.11737682610135264</c:v>
                </c:pt>
                <c:pt idx="27">
                  <c:v>-0.1364841584483755</c:v>
                </c:pt>
                <c:pt idx="28">
                  <c:v>-0.14359482438488735</c:v>
                </c:pt>
                <c:pt idx="29">
                  <c:v>-0.12396073351059002</c:v>
                </c:pt>
                <c:pt idx="30">
                  <c:v>-0.1086300757305243</c:v>
                </c:pt>
                <c:pt idx="31">
                  <c:v>-0.10559235093456437</c:v>
                </c:pt>
                <c:pt idx="32">
                  <c:v>-9.1987689718527207E-2</c:v>
                </c:pt>
                <c:pt idx="33">
                  <c:v>-7.5831835936780875E-2</c:v>
                </c:pt>
                <c:pt idx="34">
                  <c:v>-7.3995595789170518E-2</c:v>
                </c:pt>
                <c:pt idx="35">
                  <c:v>-6.5582530903625175E-2</c:v>
                </c:pt>
                <c:pt idx="36">
                  <c:v>-6.0278481636563394E-2</c:v>
                </c:pt>
                <c:pt idx="37">
                  <c:v>-4.8066918865092519E-2</c:v>
                </c:pt>
                <c:pt idx="38">
                  <c:v>-3.1287748838930637E-2</c:v>
                </c:pt>
                <c:pt idx="39">
                  <c:v>-1.6041019902218186E-2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623-43A3-B1F8-B6BABF041C6C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Spreadsheet9.1!$AB$53:$AB$93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1.2140519678210671E-2</c:v>
                </c:pt>
                <c:pt idx="2">
                  <c:v>5.267610578035431E-3</c:v>
                </c:pt>
                <c:pt idx="3">
                  <c:v>-1.3439495608188801E-2</c:v>
                </c:pt>
                <c:pt idx="4">
                  <c:v>1.9679721208054612E-4</c:v>
                </c:pt>
                <c:pt idx="5">
                  <c:v>4.7528095676224957E-2</c:v>
                </c:pt>
                <c:pt idx="6">
                  <c:v>7.0682016338240672E-2</c:v>
                </c:pt>
                <c:pt idx="7">
                  <c:v>6.9643479989234203E-2</c:v>
                </c:pt>
                <c:pt idx="8">
                  <c:v>4.8813200719780792E-2</c:v>
                </c:pt>
                <c:pt idx="9">
                  <c:v>6.4852649207856716E-2</c:v>
                </c:pt>
                <c:pt idx="10">
                  <c:v>6.2595599358737486E-2</c:v>
                </c:pt>
                <c:pt idx="11">
                  <c:v>5.6464619248623782E-2</c:v>
                </c:pt>
                <c:pt idx="12">
                  <c:v>3.4157298648940571E-2</c:v>
                </c:pt>
                <c:pt idx="13">
                  <c:v>1.3493986168126471E-2</c:v>
                </c:pt>
                <c:pt idx="14">
                  <c:v>3.7172873117522987E-2</c:v>
                </c:pt>
                <c:pt idx="15">
                  <c:v>1.6667566434071523E-2</c:v>
                </c:pt>
                <c:pt idx="16">
                  <c:v>1.3391637870783069E-2</c:v>
                </c:pt>
                <c:pt idx="17">
                  <c:v>2.4302641323483698E-2</c:v>
                </c:pt>
                <c:pt idx="18">
                  <c:v>2.2363803002349858E-3</c:v>
                </c:pt>
                <c:pt idx="19">
                  <c:v>2.2216337844280815E-2</c:v>
                </c:pt>
                <c:pt idx="20">
                  <c:v>-5.5952830578668289E-3</c:v>
                </c:pt>
                <c:pt idx="21">
                  <c:v>-1.7293365831463847E-2</c:v>
                </c:pt>
                <c:pt idx="22">
                  <c:v>8.0400285064903265E-3</c:v>
                </c:pt>
                <c:pt idx="23">
                  <c:v>1.4830809814286999E-2</c:v>
                </c:pt>
                <c:pt idx="24">
                  <c:v>3.5341007196943469E-2</c:v>
                </c:pt>
                <c:pt idx="25">
                  <c:v>2.275191891573014E-2</c:v>
                </c:pt>
                <c:pt idx="26">
                  <c:v>1.2452745029845752E-2</c:v>
                </c:pt>
                <c:pt idx="27">
                  <c:v>2.8263609062742501E-4</c:v>
                </c:pt>
                <c:pt idx="28">
                  <c:v>7.5117668256679537E-3</c:v>
                </c:pt>
                <c:pt idx="29">
                  <c:v>1.4538109450908804E-2</c:v>
                </c:pt>
                <c:pt idx="30">
                  <c:v>1.8111311710712175E-2</c:v>
                </c:pt>
                <c:pt idx="31">
                  <c:v>2.8538497188576872E-2</c:v>
                </c:pt>
                <c:pt idx="32">
                  <c:v>3.2287868062025146E-2</c:v>
                </c:pt>
                <c:pt idx="33">
                  <c:v>3.1729492565841108E-2</c:v>
                </c:pt>
                <c:pt idx="34">
                  <c:v>2.6179794164234049E-2</c:v>
                </c:pt>
                <c:pt idx="35">
                  <c:v>2.6552015210043189E-2</c:v>
                </c:pt>
                <c:pt idx="36">
                  <c:v>1.9427111514772916E-2</c:v>
                </c:pt>
                <c:pt idx="37">
                  <c:v>8.1885299788718585E-3</c:v>
                </c:pt>
                <c:pt idx="38">
                  <c:v>2.205126564757267E-3</c:v>
                </c:pt>
                <c:pt idx="39">
                  <c:v>1.2027971078623287E-3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623-43A3-B1F8-B6BABF041C6C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Spreadsheet9.1!$AC$53:$AC$93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-1.7672012375420321E-2</c:v>
                </c:pt>
                <c:pt idx="2">
                  <c:v>-4.5091252697866013E-2</c:v>
                </c:pt>
                <c:pt idx="3">
                  <c:v>-7.9403559167843307E-2</c:v>
                </c:pt>
                <c:pt idx="4">
                  <c:v>-7.7980107651974773E-2</c:v>
                </c:pt>
                <c:pt idx="5">
                  <c:v>-8.8262449151369937E-2</c:v>
                </c:pt>
                <c:pt idx="6">
                  <c:v>-0.10060209415461596</c:v>
                </c:pt>
                <c:pt idx="7">
                  <c:v>-8.5145701990495981E-2</c:v>
                </c:pt>
                <c:pt idx="8">
                  <c:v>-6.9911292958843796E-2</c:v>
                </c:pt>
                <c:pt idx="9">
                  <c:v>-7.8669859166443035E-2</c:v>
                </c:pt>
                <c:pt idx="10">
                  <c:v>-2.1907574605085078E-2</c:v>
                </c:pt>
                <c:pt idx="11">
                  <c:v>-1.7516496304345042E-3</c:v>
                </c:pt>
                <c:pt idx="12">
                  <c:v>1.0027764330241107E-2</c:v>
                </c:pt>
                <c:pt idx="13">
                  <c:v>1.7234879669550229E-2</c:v>
                </c:pt>
                <c:pt idx="14">
                  <c:v>3.239730579615141E-2</c:v>
                </c:pt>
                <c:pt idx="15">
                  <c:v>3.5478323797439371E-2</c:v>
                </c:pt>
                <c:pt idx="16">
                  <c:v>1.0286024063877408E-2</c:v>
                </c:pt>
                <c:pt idx="17">
                  <c:v>1.1596688149740464E-2</c:v>
                </c:pt>
                <c:pt idx="18">
                  <c:v>2.7984956871290961E-2</c:v>
                </c:pt>
                <c:pt idx="19">
                  <c:v>-1.2938093836713516E-3</c:v>
                </c:pt>
                <c:pt idx="20">
                  <c:v>-3.3352618483041274E-3</c:v>
                </c:pt>
                <c:pt idx="21">
                  <c:v>3.3229515418357891E-3</c:v>
                </c:pt>
                <c:pt idx="22">
                  <c:v>3.8465614911260548E-3</c:v>
                </c:pt>
                <c:pt idx="23">
                  <c:v>9.9399220920106945E-3</c:v>
                </c:pt>
                <c:pt idx="24">
                  <c:v>2.2024138754956429E-2</c:v>
                </c:pt>
                <c:pt idx="25">
                  <c:v>1.7597823352465181E-2</c:v>
                </c:pt>
                <c:pt idx="26">
                  <c:v>2.8810937555107025E-2</c:v>
                </c:pt>
                <c:pt idx="27">
                  <c:v>2.0013073710895224E-2</c:v>
                </c:pt>
                <c:pt idx="28">
                  <c:v>8.0660696711679358E-3</c:v>
                </c:pt>
                <c:pt idx="29">
                  <c:v>2.7170401724044668E-2</c:v>
                </c:pt>
                <c:pt idx="30">
                  <c:v>1.9381382561504665E-2</c:v>
                </c:pt>
                <c:pt idx="31">
                  <c:v>1.2134116318412436E-2</c:v>
                </c:pt>
                <c:pt idx="32">
                  <c:v>2.3273544917600975E-2</c:v>
                </c:pt>
                <c:pt idx="33">
                  <c:v>1.0871165548371461E-2</c:v>
                </c:pt>
                <c:pt idx="34">
                  <c:v>-2.4094069931170636E-3</c:v>
                </c:pt>
                <c:pt idx="35">
                  <c:v>-5.3427211168668165E-3</c:v>
                </c:pt>
                <c:pt idx="36">
                  <c:v>-6.1444899245392606E-3</c:v>
                </c:pt>
                <c:pt idx="37">
                  <c:v>-4.5170836436454892E-3</c:v>
                </c:pt>
                <c:pt idx="38">
                  <c:v>-2.9530479507769263E-3</c:v>
                </c:pt>
                <c:pt idx="39">
                  <c:v>-7.1821725360243262E-4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23-43A3-B1F8-B6BABF041C6C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Spreadsheet9.1!$AD$53:$AD$93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1.8904160564855776E-2</c:v>
                </c:pt>
                <c:pt idx="2">
                  <c:v>-2.3044727330453818E-2</c:v>
                </c:pt>
                <c:pt idx="3">
                  <c:v>-4.1865122893454343E-2</c:v>
                </c:pt>
                <c:pt idx="4">
                  <c:v>6.0141393104878871E-3</c:v>
                </c:pt>
                <c:pt idx="5">
                  <c:v>-3.0562462085414466E-2</c:v>
                </c:pt>
                <c:pt idx="6">
                  <c:v>-5.7818608077313594E-2</c:v>
                </c:pt>
                <c:pt idx="7">
                  <c:v>-6.1134240034656839E-2</c:v>
                </c:pt>
                <c:pt idx="8">
                  <c:v>-6.7127253319221425E-2</c:v>
                </c:pt>
                <c:pt idx="9">
                  <c:v>-9.2645841808008944E-2</c:v>
                </c:pt>
                <c:pt idx="10">
                  <c:v>-7.449354605523556E-2</c:v>
                </c:pt>
                <c:pt idx="11">
                  <c:v>-4.5479611655229901E-2</c:v>
                </c:pt>
                <c:pt idx="12">
                  <c:v>-2.1840226659262385E-2</c:v>
                </c:pt>
                <c:pt idx="13">
                  <c:v>-1.1147946875149362E-2</c:v>
                </c:pt>
                <c:pt idx="14">
                  <c:v>4.6869250282385755E-2</c:v>
                </c:pt>
                <c:pt idx="15">
                  <c:v>1.6694943413295971E-2</c:v>
                </c:pt>
                <c:pt idx="16">
                  <c:v>1.7786648473180233E-2</c:v>
                </c:pt>
                <c:pt idx="17">
                  <c:v>-2.785643983674202E-3</c:v>
                </c:pt>
                <c:pt idx="18">
                  <c:v>1.4124757232229945E-2</c:v>
                </c:pt>
                <c:pt idx="19">
                  <c:v>-3.7311556133301782E-3</c:v>
                </c:pt>
                <c:pt idx="20">
                  <c:v>1.092108638987685E-2</c:v>
                </c:pt>
                <c:pt idx="21">
                  <c:v>3.0795755115541668E-2</c:v>
                </c:pt>
                <c:pt idx="22">
                  <c:v>2.597429578110716E-2</c:v>
                </c:pt>
                <c:pt idx="23">
                  <c:v>2.7270145222142578E-2</c:v>
                </c:pt>
                <c:pt idx="24">
                  <c:v>2.7637506564466424E-2</c:v>
                </c:pt>
                <c:pt idx="25">
                  <c:v>-4.32908467301929E-3</c:v>
                </c:pt>
                <c:pt idx="26">
                  <c:v>-3.8518303108065033E-2</c:v>
                </c:pt>
                <c:pt idx="27">
                  <c:v>-2.99061246451022E-2</c:v>
                </c:pt>
                <c:pt idx="28">
                  <c:v>-5.6113168238460243E-3</c:v>
                </c:pt>
                <c:pt idx="29">
                  <c:v>-9.921547329297481E-3</c:v>
                </c:pt>
                <c:pt idx="30">
                  <c:v>-2.1124078233004218E-2</c:v>
                </c:pt>
                <c:pt idx="31">
                  <c:v>-1.443027358560528E-2</c:v>
                </c:pt>
                <c:pt idx="32">
                  <c:v>-1.1149427574296378E-2</c:v>
                </c:pt>
                <c:pt idx="33">
                  <c:v>-9.1040536053714899E-3</c:v>
                </c:pt>
                <c:pt idx="34">
                  <c:v>-9.8580508998342836E-3</c:v>
                </c:pt>
                <c:pt idx="35">
                  <c:v>-1.0878608960253972E-2</c:v>
                </c:pt>
                <c:pt idx="36">
                  <c:v>-1.2031350712448874E-2</c:v>
                </c:pt>
                <c:pt idx="37">
                  <c:v>-1.4253541897341744E-2</c:v>
                </c:pt>
                <c:pt idx="38">
                  <c:v>-5.3277671197452248E-3</c:v>
                </c:pt>
                <c:pt idx="39">
                  <c:v>-1.9133984342800409E-3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23-43A3-B1F8-B6BABF041C6C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Spreadsheet9.1!$AE$53:$AE$93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3.0235462159441895E-2</c:v>
                </c:pt>
                <c:pt idx="2">
                  <c:v>5.1355884535806973E-2</c:v>
                </c:pt>
                <c:pt idx="3">
                  <c:v>5.1943542849628155E-2</c:v>
                </c:pt>
                <c:pt idx="4">
                  <c:v>1.5579414378989576E-2</c:v>
                </c:pt>
                <c:pt idx="5">
                  <c:v>1.8117788539769752E-2</c:v>
                </c:pt>
                <c:pt idx="6">
                  <c:v>5.163631730958762E-2</c:v>
                </c:pt>
                <c:pt idx="7">
                  <c:v>4.2707190935147299E-2</c:v>
                </c:pt>
                <c:pt idx="8">
                  <c:v>9.0578029878223332E-2</c:v>
                </c:pt>
                <c:pt idx="9">
                  <c:v>0.10308465970998704</c:v>
                </c:pt>
                <c:pt idx="10">
                  <c:v>8.6363900806004257E-2</c:v>
                </c:pt>
                <c:pt idx="11">
                  <c:v>0.11942177398905446</c:v>
                </c:pt>
                <c:pt idx="12">
                  <c:v>8.6111614756407218E-2</c:v>
                </c:pt>
                <c:pt idx="13">
                  <c:v>9.414828109168305E-2</c:v>
                </c:pt>
                <c:pt idx="14">
                  <c:v>4.6498404815018268E-2</c:v>
                </c:pt>
                <c:pt idx="15">
                  <c:v>5.1697890774693056E-2</c:v>
                </c:pt>
                <c:pt idx="16">
                  <c:v>5.0683947630848547E-2</c:v>
                </c:pt>
                <c:pt idx="17">
                  <c:v>4.7605309611531865E-2</c:v>
                </c:pt>
                <c:pt idx="18">
                  <c:v>4.4712380674147734E-2</c:v>
                </c:pt>
                <c:pt idx="19">
                  <c:v>5.3756775193797735E-2</c:v>
                </c:pt>
                <c:pt idx="20">
                  <c:v>2.6143135615214558E-2</c:v>
                </c:pt>
                <c:pt idx="21">
                  <c:v>2.4185896583430511E-2</c:v>
                </c:pt>
                <c:pt idx="22">
                  <c:v>9.2173178664063382E-3</c:v>
                </c:pt>
                <c:pt idx="23">
                  <c:v>2.2557662092109465E-2</c:v>
                </c:pt>
                <c:pt idx="24">
                  <c:v>1.3140021806072655E-2</c:v>
                </c:pt>
                <c:pt idx="25">
                  <c:v>2.07906111767443E-2</c:v>
                </c:pt>
                <c:pt idx="26">
                  <c:v>2.0640199141784665E-2</c:v>
                </c:pt>
                <c:pt idx="27">
                  <c:v>1.1575477140944562E-2</c:v>
                </c:pt>
                <c:pt idx="28">
                  <c:v>2.4518064071177931E-2</c:v>
                </c:pt>
                <c:pt idx="29">
                  <c:v>3.549848735767322E-2</c:v>
                </c:pt>
                <c:pt idx="30">
                  <c:v>1.5105237161166407E-2</c:v>
                </c:pt>
                <c:pt idx="31">
                  <c:v>1.797376677213014E-2</c:v>
                </c:pt>
                <c:pt idx="32">
                  <c:v>1.8847670600564082E-2</c:v>
                </c:pt>
                <c:pt idx="33">
                  <c:v>2.5897457757816822E-2</c:v>
                </c:pt>
                <c:pt idx="34">
                  <c:v>2.6900843824518683E-2</c:v>
                </c:pt>
                <c:pt idx="35">
                  <c:v>2.1305953691302407E-2</c:v>
                </c:pt>
                <c:pt idx="36">
                  <c:v>1.9399135773656852E-2</c:v>
                </c:pt>
                <c:pt idx="37">
                  <c:v>1.5448519741385169E-2</c:v>
                </c:pt>
                <c:pt idx="38">
                  <c:v>1.5440132079251226E-2</c:v>
                </c:pt>
                <c:pt idx="39">
                  <c:v>7.9561942878964911E-3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23-43A3-B1F8-B6BABF041C6C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Spreadsheet9.1!$AF$53:$AF$93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-2.2726480756475431E-2</c:v>
                </c:pt>
                <c:pt idx="2">
                  <c:v>-8.741838293057197E-2</c:v>
                </c:pt>
                <c:pt idx="3">
                  <c:v>-0.11167991280013079</c:v>
                </c:pt>
                <c:pt idx="4">
                  <c:v>-0.10994179371443991</c:v>
                </c:pt>
                <c:pt idx="5">
                  <c:v>-0.12232263556593098</c:v>
                </c:pt>
                <c:pt idx="6">
                  <c:v>-0.14185759179717516</c:v>
                </c:pt>
                <c:pt idx="7">
                  <c:v>-0.146167216810691</c:v>
                </c:pt>
                <c:pt idx="8">
                  <c:v>-0.15259128433295938</c:v>
                </c:pt>
                <c:pt idx="9">
                  <c:v>-0.16271742947334544</c:v>
                </c:pt>
                <c:pt idx="10">
                  <c:v>-0.13626763752875348</c:v>
                </c:pt>
                <c:pt idx="11">
                  <c:v>-0.11990275244206677</c:v>
                </c:pt>
                <c:pt idx="12">
                  <c:v>-0.11803863262731018</c:v>
                </c:pt>
                <c:pt idx="13">
                  <c:v>-0.12445401635573716</c:v>
                </c:pt>
                <c:pt idx="14">
                  <c:v>-9.7506513407148165E-2</c:v>
                </c:pt>
                <c:pt idx="15">
                  <c:v>-7.5184879255743242E-2</c:v>
                </c:pt>
                <c:pt idx="16">
                  <c:v>-9.3884158544791874E-2</c:v>
                </c:pt>
                <c:pt idx="17">
                  <c:v>-8.2855473255914552E-2</c:v>
                </c:pt>
                <c:pt idx="18">
                  <c:v>-0.10582358014399704</c:v>
                </c:pt>
                <c:pt idx="19">
                  <c:v>-0.12686518407521252</c:v>
                </c:pt>
                <c:pt idx="20">
                  <c:v>-0.13403303674827449</c:v>
                </c:pt>
                <c:pt idx="21">
                  <c:v>-0.12933360643604208</c:v>
                </c:pt>
                <c:pt idx="22">
                  <c:v>-0.11017107243006211</c:v>
                </c:pt>
                <c:pt idx="23">
                  <c:v>-9.5285418267404332E-2</c:v>
                </c:pt>
                <c:pt idx="24">
                  <c:v>-8.3679022696217742E-2</c:v>
                </c:pt>
                <c:pt idx="25">
                  <c:v>-9.4876776229855547E-2</c:v>
                </c:pt>
                <c:pt idx="26">
                  <c:v>-8.6580255877785173E-2</c:v>
                </c:pt>
                <c:pt idx="27">
                  <c:v>-9.7659093983419404E-2</c:v>
                </c:pt>
                <c:pt idx="28">
                  <c:v>-9.5296567094552559E-2</c:v>
                </c:pt>
                <c:pt idx="29">
                  <c:v>-7.9997914762314812E-2</c:v>
                </c:pt>
                <c:pt idx="30">
                  <c:v>-7.1264976679343367E-2</c:v>
                </c:pt>
                <c:pt idx="31">
                  <c:v>-6.5355096196464568E-2</c:v>
                </c:pt>
                <c:pt idx="32">
                  <c:v>-6.8430070009023958E-2</c:v>
                </c:pt>
                <c:pt idx="33">
                  <c:v>-5.8260862866131302E-2</c:v>
                </c:pt>
                <c:pt idx="34">
                  <c:v>-4.8236178939678465E-2</c:v>
                </c:pt>
                <c:pt idx="35">
                  <c:v>-3.911393213019787E-2</c:v>
                </c:pt>
                <c:pt idx="36">
                  <c:v>-3.1552747725811098E-2</c:v>
                </c:pt>
                <c:pt idx="37">
                  <c:v>-2.7530514160000963E-2</c:v>
                </c:pt>
                <c:pt idx="38">
                  <c:v>-1.6120338715056998E-2</c:v>
                </c:pt>
                <c:pt idx="39">
                  <c:v>-7.4065242750866681E-3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623-43A3-B1F8-B6BABF041C6C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Spreadsheet9.1!$AG$53:$AG$93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2.5289038108443851E-2</c:v>
                </c:pt>
                <c:pt idx="2">
                  <c:v>4.0304135142321673E-3</c:v>
                </c:pt>
                <c:pt idx="3">
                  <c:v>-2.0959869257113573E-2</c:v>
                </c:pt>
                <c:pt idx="4">
                  <c:v>-5.3062707418640831E-2</c:v>
                </c:pt>
                <c:pt idx="5">
                  <c:v>-3.8119548673326231E-2</c:v>
                </c:pt>
                <c:pt idx="6">
                  <c:v>-1.8773369633151404E-2</c:v>
                </c:pt>
                <c:pt idx="7">
                  <c:v>1.5802053090308965E-2</c:v>
                </c:pt>
                <c:pt idx="8">
                  <c:v>-3.9532818685790172E-3</c:v>
                </c:pt>
                <c:pt idx="9">
                  <c:v>1.7765070031194097E-2</c:v>
                </c:pt>
                <c:pt idx="10">
                  <c:v>-2.0241382040003808E-3</c:v>
                </c:pt>
                <c:pt idx="11">
                  <c:v>1.1826539219500387E-2</c:v>
                </c:pt>
                <c:pt idx="12">
                  <c:v>2.0570474827254159E-2</c:v>
                </c:pt>
                <c:pt idx="13">
                  <c:v>-9.6791271698632997E-3</c:v>
                </c:pt>
                <c:pt idx="14">
                  <c:v>1.9517516405158197E-2</c:v>
                </c:pt>
                <c:pt idx="15">
                  <c:v>-1.3836065274154929E-2</c:v>
                </c:pt>
                <c:pt idx="16">
                  <c:v>-2.3122093041293923E-2</c:v>
                </c:pt>
                <c:pt idx="17">
                  <c:v>-3.7706072960577819E-2</c:v>
                </c:pt>
                <c:pt idx="18">
                  <c:v>-3.1692978292116453E-2</c:v>
                </c:pt>
                <c:pt idx="19">
                  <c:v>-3.6384381210820826E-2</c:v>
                </c:pt>
                <c:pt idx="20">
                  <c:v>-2.7611021532653629E-2</c:v>
                </c:pt>
                <c:pt idx="21">
                  <c:v>-3.7640817380668379E-2</c:v>
                </c:pt>
                <c:pt idx="22">
                  <c:v>-5.7124661502713697E-2</c:v>
                </c:pt>
                <c:pt idx="23">
                  <c:v>-2.9468947871128415E-2</c:v>
                </c:pt>
                <c:pt idx="24">
                  <c:v>-4.7374038556653453E-3</c:v>
                </c:pt>
                <c:pt idx="25">
                  <c:v>-1.1479746859974771E-2</c:v>
                </c:pt>
                <c:pt idx="26">
                  <c:v>-2.2462252687364237E-2</c:v>
                </c:pt>
                <c:pt idx="27">
                  <c:v>-1.427034863086199E-2</c:v>
                </c:pt>
                <c:pt idx="28">
                  <c:v>-2.4870562717853623E-2</c:v>
                </c:pt>
                <c:pt idx="29">
                  <c:v>-8.6225324723882557E-3</c:v>
                </c:pt>
                <c:pt idx="30">
                  <c:v>-1.0286183971223092E-2</c:v>
                </c:pt>
                <c:pt idx="31">
                  <c:v>-4.794899904957739E-3</c:v>
                </c:pt>
                <c:pt idx="32">
                  <c:v>-1.5174725396503011E-2</c:v>
                </c:pt>
                <c:pt idx="33">
                  <c:v>-5.4941785969690043E-3</c:v>
                </c:pt>
                <c:pt idx="34">
                  <c:v>-2.1434020953930988E-3</c:v>
                </c:pt>
                <c:pt idx="35">
                  <c:v>4.3542465482926673E-3</c:v>
                </c:pt>
                <c:pt idx="36">
                  <c:v>1.1046717796842367E-2</c:v>
                </c:pt>
                <c:pt idx="37">
                  <c:v>9.4605472751390918E-3</c:v>
                </c:pt>
                <c:pt idx="38">
                  <c:v>9.6997919211573302E-3</c:v>
                </c:pt>
                <c:pt idx="39">
                  <c:v>6.3675034705670142E-3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623-43A3-B1F8-B6BABF041C6C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Spreadsheet9.1!$AH$53:$AH$93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2.5705395410087983E-2</c:v>
                </c:pt>
                <c:pt idx="2">
                  <c:v>3.5610419585567321E-2</c:v>
                </c:pt>
                <c:pt idx="3">
                  <c:v>4.1403686356570324E-3</c:v>
                </c:pt>
                <c:pt idx="4">
                  <c:v>-1.6945734786594835E-2</c:v>
                </c:pt>
                <c:pt idx="5">
                  <c:v>3.4571124381792495E-2</c:v>
                </c:pt>
                <c:pt idx="6">
                  <c:v>-9.5418774712952015E-4</c:v>
                </c:pt>
                <c:pt idx="7">
                  <c:v>-2.5902462336197196E-2</c:v>
                </c:pt>
                <c:pt idx="8">
                  <c:v>1.843065420501222E-3</c:v>
                </c:pt>
                <c:pt idx="9">
                  <c:v>-1.5116978716194107E-2</c:v>
                </c:pt>
                <c:pt idx="10">
                  <c:v>4.8353673663489305E-3</c:v>
                </c:pt>
                <c:pt idx="11">
                  <c:v>4.609951561929021E-2</c:v>
                </c:pt>
                <c:pt idx="12">
                  <c:v>6.0972065461005309E-2</c:v>
                </c:pt>
                <c:pt idx="13">
                  <c:v>4.672332128264528E-2</c:v>
                </c:pt>
                <c:pt idx="14">
                  <c:v>-2.7912229169136937E-3</c:v>
                </c:pt>
                <c:pt idx="15">
                  <c:v>-1.0244021014732929E-2</c:v>
                </c:pt>
                <c:pt idx="16">
                  <c:v>-4.6738669905726504E-3</c:v>
                </c:pt>
                <c:pt idx="17">
                  <c:v>-2.9296404062883696E-2</c:v>
                </c:pt>
                <c:pt idx="18">
                  <c:v>-3.9948296027218722E-2</c:v>
                </c:pt>
                <c:pt idx="19">
                  <c:v>-1.1431010635673339E-2</c:v>
                </c:pt>
                <c:pt idx="20">
                  <c:v>-3.2061494620838432E-2</c:v>
                </c:pt>
                <c:pt idx="21">
                  <c:v>-5.305229853402621E-2</c:v>
                </c:pt>
                <c:pt idx="22">
                  <c:v>-4.8699906331336584E-2</c:v>
                </c:pt>
                <c:pt idx="23">
                  <c:v>-5.4239688135968328E-2</c:v>
                </c:pt>
                <c:pt idx="24">
                  <c:v>-5.2725913287170051E-2</c:v>
                </c:pt>
                <c:pt idx="25">
                  <c:v>-4.5037556458579237E-2</c:v>
                </c:pt>
                <c:pt idx="26">
                  <c:v>-1.5744619177572472E-2</c:v>
                </c:pt>
                <c:pt idx="27">
                  <c:v>-1.46840333751449E-2</c:v>
                </c:pt>
                <c:pt idx="28">
                  <c:v>-2.2643933783674852E-2</c:v>
                </c:pt>
                <c:pt idx="29">
                  <c:v>4.0533475367393879E-3</c:v>
                </c:pt>
                <c:pt idx="30">
                  <c:v>7.0565193704097418E-4</c:v>
                </c:pt>
                <c:pt idx="31">
                  <c:v>1.2429777803267816E-3</c:v>
                </c:pt>
                <c:pt idx="32">
                  <c:v>3.2595499787967108E-3</c:v>
                </c:pt>
                <c:pt idx="33">
                  <c:v>6.1992911413173979E-3</c:v>
                </c:pt>
                <c:pt idx="34">
                  <c:v>-6.9377734372865069E-3</c:v>
                </c:pt>
                <c:pt idx="35">
                  <c:v>-5.8114652930077518E-3</c:v>
                </c:pt>
                <c:pt idx="36">
                  <c:v>-1.0609414139242157E-2</c:v>
                </c:pt>
                <c:pt idx="37">
                  <c:v>-5.8904005186496272E-3</c:v>
                </c:pt>
                <c:pt idx="38">
                  <c:v>-2.9303282851941802E-3</c:v>
                </c:pt>
                <c:pt idx="39">
                  <c:v>-2.5436166987730015E-3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623-43A3-B1F8-B6BABF041C6C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Spreadsheet9.1!$AI$53:$AI$93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2.872216862460808E-2</c:v>
                </c:pt>
                <c:pt idx="2">
                  <c:v>4.5945040369324563E-3</c:v>
                </c:pt>
                <c:pt idx="3">
                  <c:v>2.4559498817151415E-2</c:v>
                </c:pt>
                <c:pt idx="4">
                  <c:v>7.5401365112960361E-3</c:v>
                </c:pt>
                <c:pt idx="5">
                  <c:v>-1.1341383981031683E-2</c:v>
                </c:pt>
                <c:pt idx="6">
                  <c:v>-1.1996774273889232E-2</c:v>
                </c:pt>
                <c:pt idx="7">
                  <c:v>1.3939819124791919E-3</c:v>
                </c:pt>
                <c:pt idx="8">
                  <c:v>-2.5604872047612359E-2</c:v>
                </c:pt>
                <c:pt idx="9">
                  <c:v>-2.2075925903265015E-2</c:v>
                </c:pt>
                <c:pt idx="10">
                  <c:v>-3.9331382761740252E-2</c:v>
                </c:pt>
                <c:pt idx="11">
                  <c:v>-5.2895324648677688E-2</c:v>
                </c:pt>
                <c:pt idx="12">
                  <c:v>-3.9640355454950538E-2</c:v>
                </c:pt>
                <c:pt idx="13">
                  <c:v>-5.2898230130687118E-2</c:v>
                </c:pt>
                <c:pt idx="14">
                  <c:v>-5.4098252020993665E-2</c:v>
                </c:pt>
                <c:pt idx="15">
                  <c:v>-3.1254474629961948E-2</c:v>
                </c:pt>
                <c:pt idx="16">
                  <c:v>-6.7581844478619701E-3</c:v>
                </c:pt>
                <c:pt idx="17">
                  <c:v>-7.7662413109338413E-3</c:v>
                </c:pt>
                <c:pt idx="18">
                  <c:v>-4.0508626170895345E-3</c:v>
                </c:pt>
                <c:pt idx="19">
                  <c:v>-1.3388042803894384E-2</c:v>
                </c:pt>
                <c:pt idx="20">
                  <c:v>1.6468595505991224E-3</c:v>
                </c:pt>
                <c:pt idx="21">
                  <c:v>6.4650071251368679E-3</c:v>
                </c:pt>
                <c:pt idx="22">
                  <c:v>3.3866861200299025E-5</c:v>
                </c:pt>
                <c:pt idx="23">
                  <c:v>-3.0760795458821988E-2</c:v>
                </c:pt>
                <c:pt idx="24">
                  <c:v>-2.6024856542212871E-2</c:v>
                </c:pt>
                <c:pt idx="25">
                  <c:v>8.0976555988702126E-3</c:v>
                </c:pt>
                <c:pt idx="26">
                  <c:v>5.6450985316549573E-3</c:v>
                </c:pt>
                <c:pt idx="27">
                  <c:v>8.4032981463094403E-3</c:v>
                </c:pt>
                <c:pt idx="28">
                  <c:v>1.2646802995305489E-2</c:v>
                </c:pt>
                <c:pt idx="29">
                  <c:v>1.282475434686936E-2</c:v>
                </c:pt>
                <c:pt idx="30">
                  <c:v>7.7053574555179111E-3</c:v>
                </c:pt>
                <c:pt idx="31">
                  <c:v>6.2575578660782061E-3</c:v>
                </c:pt>
                <c:pt idx="32">
                  <c:v>-3.7362036755709815E-3</c:v>
                </c:pt>
                <c:pt idx="33">
                  <c:v>2.3146609688358688E-3</c:v>
                </c:pt>
                <c:pt idx="34">
                  <c:v>-7.8335009385514659E-3</c:v>
                </c:pt>
                <c:pt idx="35">
                  <c:v>-6.6610077704743545E-3</c:v>
                </c:pt>
                <c:pt idx="36">
                  <c:v>-5.890082130194485E-3</c:v>
                </c:pt>
                <c:pt idx="37">
                  <c:v>-5.4131083033205352E-3</c:v>
                </c:pt>
                <c:pt idx="38">
                  <c:v>-3.5094675529805386E-3</c:v>
                </c:pt>
                <c:pt idx="39">
                  <c:v>6.0110393178136601E-4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623-43A3-B1F8-B6BABF041C6C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Spreadsheet9.1!$AJ$53:$AJ$93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-8.0927187283445501E-3</c:v>
                </c:pt>
                <c:pt idx="2">
                  <c:v>-1.3346001716140088E-2</c:v>
                </c:pt>
                <c:pt idx="3">
                  <c:v>-1.4991849785061795E-2</c:v>
                </c:pt>
                <c:pt idx="4">
                  <c:v>-3.7336543948928713E-2</c:v>
                </c:pt>
                <c:pt idx="5">
                  <c:v>-4.2276282180440772E-2</c:v>
                </c:pt>
                <c:pt idx="6">
                  <c:v>-7.9363024256167036E-2</c:v>
                </c:pt>
                <c:pt idx="7">
                  <c:v>-4.9245573263590858E-2</c:v>
                </c:pt>
                <c:pt idx="8">
                  <c:v>-7.9123598996932998E-4</c:v>
                </c:pt>
                <c:pt idx="9">
                  <c:v>-2.4935457767359559E-2</c:v>
                </c:pt>
                <c:pt idx="10">
                  <c:v>-3.2823477967093284E-3</c:v>
                </c:pt>
                <c:pt idx="11">
                  <c:v>1.4925783719211216E-2</c:v>
                </c:pt>
                <c:pt idx="12">
                  <c:v>4.336945511707091E-2</c:v>
                </c:pt>
                <c:pt idx="13">
                  <c:v>4.0466054418480224E-2</c:v>
                </c:pt>
                <c:pt idx="14">
                  <c:v>6.2752716562080035E-2</c:v>
                </c:pt>
                <c:pt idx="15">
                  <c:v>6.1432681395864164E-2</c:v>
                </c:pt>
                <c:pt idx="16">
                  <c:v>4.942121104831837E-2</c:v>
                </c:pt>
                <c:pt idx="17">
                  <c:v>5.1336094305742652E-2</c:v>
                </c:pt>
                <c:pt idx="18">
                  <c:v>5.6913579820462745E-2</c:v>
                </c:pt>
                <c:pt idx="19">
                  <c:v>3.8911835849280513E-2</c:v>
                </c:pt>
                <c:pt idx="20">
                  <c:v>4.7357282613326779E-2</c:v>
                </c:pt>
                <c:pt idx="21">
                  <c:v>2.8136778198020879E-2</c:v>
                </c:pt>
                <c:pt idx="22">
                  <c:v>2.2229723352979014E-2</c:v>
                </c:pt>
                <c:pt idx="23">
                  <c:v>7.6795696142361869E-3</c:v>
                </c:pt>
                <c:pt idx="24">
                  <c:v>3.2429581320026268E-2</c:v>
                </c:pt>
                <c:pt idx="25">
                  <c:v>5.2342665988694775E-2</c:v>
                </c:pt>
                <c:pt idx="26">
                  <c:v>6.8635683969181099E-2</c:v>
                </c:pt>
                <c:pt idx="27">
                  <c:v>5.2412691654171006E-2</c:v>
                </c:pt>
                <c:pt idx="28">
                  <c:v>2.5540755053536118E-2</c:v>
                </c:pt>
                <c:pt idx="29">
                  <c:v>4.0208877030649098E-2</c:v>
                </c:pt>
                <c:pt idx="30">
                  <c:v>3.7539819085511059E-2</c:v>
                </c:pt>
                <c:pt idx="31">
                  <c:v>2.5793822223658516E-2</c:v>
                </c:pt>
                <c:pt idx="32">
                  <c:v>3.6328988013217434E-2</c:v>
                </c:pt>
                <c:pt idx="33">
                  <c:v>3.4647000909160161E-2</c:v>
                </c:pt>
                <c:pt idx="34">
                  <c:v>2.929937486262528E-2</c:v>
                </c:pt>
                <c:pt idx="35">
                  <c:v>2.1755680040579033E-2</c:v>
                </c:pt>
                <c:pt idx="36">
                  <c:v>1.8512805878395891E-2</c:v>
                </c:pt>
                <c:pt idx="37">
                  <c:v>1.0866905801320041E-2</c:v>
                </c:pt>
                <c:pt idx="38">
                  <c:v>4.7487926071773517E-3</c:v>
                </c:pt>
                <c:pt idx="39">
                  <c:v>2.2262292366260084E-3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623-43A3-B1F8-B6BABF041C6C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Spreadsheet9.1!$AK$53:$AK$93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7.3046406933897079E-2</c:v>
                </c:pt>
                <c:pt idx="2">
                  <c:v>5.7022115487268932E-2</c:v>
                </c:pt>
                <c:pt idx="3">
                  <c:v>5.1045421811936276E-2</c:v>
                </c:pt>
                <c:pt idx="4">
                  <c:v>3.6648831417231464E-2</c:v>
                </c:pt>
                <c:pt idx="5">
                  <c:v>4.6597985841847378E-2</c:v>
                </c:pt>
                <c:pt idx="6">
                  <c:v>1.2031265641439415E-2</c:v>
                </c:pt>
                <c:pt idx="7">
                  <c:v>-5.3226500556834422E-3</c:v>
                </c:pt>
                <c:pt idx="8">
                  <c:v>-9.9864565517732151E-3</c:v>
                </c:pt>
                <c:pt idx="9">
                  <c:v>-1.8147978913627405E-2</c:v>
                </c:pt>
                <c:pt idx="10">
                  <c:v>-5.4293876717468326E-3</c:v>
                </c:pt>
                <c:pt idx="11">
                  <c:v>-2.3376549182003603E-2</c:v>
                </c:pt>
                <c:pt idx="12">
                  <c:v>-4.7450723674275497E-2</c:v>
                </c:pt>
                <c:pt idx="13">
                  <c:v>-5.4707792182095427E-2</c:v>
                </c:pt>
                <c:pt idx="14">
                  <c:v>-5.3020926331340978E-2</c:v>
                </c:pt>
                <c:pt idx="15">
                  <c:v>-6.66937639581488E-2</c:v>
                </c:pt>
                <c:pt idx="16">
                  <c:v>-7.2495907088410971E-2</c:v>
                </c:pt>
                <c:pt idx="17">
                  <c:v>-7.3461378283248724E-2</c:v>
                </c:pt>
                <c:pt idx="18">
                  <c:v>-9.1206178678515382E-2</c:v>
                </c:pt>
                <c:pt idx="19">
                  <c:v>-7.9482971346143128E-2</c:v>
                </c:pt>
                <c:pt idx="20">
                  <c:v>-0.10974972336714395</c:v>
                </c:pt>
                <c:pt idx="21">
                  <c:v>-9.0201463819444744E-2</c:v>
                </c:pt>
                <c:pt idx="22">
                  <c:v>-9.0829619445046639E-2</c:v>
                </c:pt>
                <c:pt idx="23">
                  <c:v>-8.9244432833192278E-2</c:v>
                </c:pt>
                <c:pt idx="24">
                  <c:v>-7.7531033214156775E-2</c:v>
                </c:pt>
                <c:pt idx="25">
                  <c:v>-5.5434150061974607E-2</c:v>
                </c:pt>
                <c:pt idx="26">
                  <c:v>-5.75133302746893E-2</c:v>
                </c:pt>
                <c:pt idx="27">
                  <c:v>-4.2919540771724163E-2</c:v>
                </c:pt>
                <c:pt idx="28">
                  <c:v>-2.4957082158712701E-2</c:v>
                </c:pt>
                <c:pt idx="29">
                  <c:v>-2.0636171714366519E-2</c:v>
                </c:pt>
                <c:pt idx="30">
                  <c:v>-1.8483816355140043E-2</c:v>
                </c:pt>
                <c:pt idx="31">
                  <c:v>-6.6462311911500427E-3</c:v>
                </c:pt>
                <c:pt idx="32">
                  <c:v>-9.4137820592249816E-3</c:v>
                </c:pt>
                <c:pt idx="33">
                  <c:v>-5.682604098616803E-3</c:v>
                </c:pt>
                <c:pt idx="34">
                  <c:v>-6.4646561668271346E-3</c:v>
                </c:pt>
                <c:pt idx="35">
                  <c:v>-1.1544888069810161E-2</c:v>
                </c:pt>
                <c:pt idx="36">
                  <c:v>-9.1005685796662419E-3</c:v>
                </c:pt>
                <c:pt idx="37">
                  <c:v>-1.8087166946787532E-2</c:v>
                </c:pt>
                <c:pt idx="38">
                  <c:v>-1.2411328586901457E-2</c:v>
                </c:pt>
                <c:pt idx="39">
                  <c:v>-4.7964347270422637E-3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623-43A3-B1F8-B6BABF041C6C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Spreadsheet9.1!$AL$53:$AL$93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1.6745101392038719E-2</c:v>
                </c:pt>
                <c:pt idx="2">
                  <c:v>1.9117197049446366E-3</c:v>
                </c:pt>
                <c:pt idx="3">
                  <c:v>5.8000425978010917E-2</c:v>
                </c:pt>
                <c:pt idx="4">
                  <c:v>7.0513239533642247E-2</c:v>
                </c:pt>
                <c:pt idx="5">
                  <c:v>5.7615110087884225E-2</c:v>
                </c:pt>
                <c:pt idx="6">
                  <c:v>3.2686457481939823E-2</c:v>
                </c:pt>
                <c:pt idx="7">
                  <c:v>1.4395560973793964E-2</c:v>
                </c:pt>
                <c:pt idx="8">
                  <c:v>2.0621084216050911E-3</c:v>
                </c:pt>
                <c:pt idx="9">
                  <c:v>-1.5919690987174384E-2</c:v>
                </c:pt>
                <c:pt idx="10">
                  <c:v>1.8404907587957042E-2</c:v>
                </c:pt>
                <c:pt idx="11">
                  <c:v>-1.2502262446258128E-2</c:v>
                </c:pt>
                <c:pt idx="12">
                  <c:v>-2.8889847260429813E-2</c:v>
                </c:pt>
                <c:pt idx="13">
                  <c:v>-1.7901205222862426E-2</c:v>
                </c:pt>
                <c:pt idx="14">
                  <c:v>-2.6978764086049156E-3</c:v>
                </c:pt>
                <c:pt idx="15">
                  <c:v>-4.219567761940396E-2</c:v>
                </c:pt>
                <c:pt idx="16">
                  <c:v>-5.7985838109252064E-2</c:v>
                </c:pt>
                <c:pt idx="17">
                  <c:v>-5.4440836531420678E-2</c:v>
                </c:pt>
                <c:pt idx="18">
                  <c:v>-5.2430191110353991E-2</c:v>
                </c:pt>
                <c:pt idx="19">
                  <c:v>-1.2965073435588947E-2</c:v>
                </c:pt>
                <c:pt idx="20">
                  <c:v>-3.051741701582078E-2</c:v>
                </c:pt>
                <c:pt idx="21">
                  <c:v>-4.0769118401425775E-2</c:v>
                </c:pt>
                <c:pt idx="22">
                  <c:v>-2.3785571853441573E-2</c:v>
                </c:pt>
                <c:pt idx="23">
                  <c:v>-2.0583987018679972E-2</c:v>
                </c:pt>
                <c:pt idx="24">
                  <c:v>-2.9671491989922832E-2</c:v>
                </c:pt>
                <c:pt idx="25">
                  <c:v>-1.7650665913270996E-2</c:v>
                </c:pt>
                <c:pt idx="26">
                  <c:v>-1.4050676600776413E-2</c:v>
                </c:pt>
                <c:pt idx="27">
                  <c:v>8.6952018479507787E-3</c:v>
                </c:pt>
                <c:pt idx="28">
                  <c:v>1.9126855471369719E-2</c:v>
                </c:pt>
                <c:pt idx="29">
                  <c:v>1.3677896729990952E-2</c:v>
                </c:pt>
                <c:pt idx="30">
                  <c:v>4.5223990620698457E-3</c:v>
                </c:pt>
                <c:pt idx="31">
                  <c:v>-2.4005866277284071E-3</c:v>
                </c:pt>
                <c:pt idx="32">
                  <c:v>7.2901358012286976E-3</c:v>
                </c:pt>
                <c:pt idx="33">
                  <c:v>1.6304218422404052E-2</c:v>
                </c:pt>
                <c:pt idx="34">
                  <c:v>1.6065778168892347E-3</c:v>
                </c:pt>
                <c:pt idx="35">
                  <c:v>-3.6273004766899514E-3</c:v>
                </c:pt>
                <c:pt idx="36">
                  <c:v>-2.1925231672325907E-3</c:v>
                </c:pt>
                <c:pt idx="37">
                  <c:v>-3.8929332908857542E-3</c:v>
                </c:pt>
                <c:pt idx="38">
                  <c:v>-1.5698945283562429E-3</c:v>
                </c:pt>
                <c:pt idx="39">
                  <c:v>4.3749534874826766E-4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623-43A3-B1F8-B6BABF041C6C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Spreadsheet9.1!$AM$53:$AM$93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3.6357574098717094E-3</c:v>
                </c:pt>
                <c:pt idx="2">
                  <c:v>2.9283860198588196E-2</c:v>
                </c:pt>
                <c:pt idx="3">
                  <c:v>5.0685161281005975E-2</c:v>
                </c:pt>
                <c:pt idx="4">
                  <c:v>6.012684120741324E-2</c:v>
                </c:pt>
                <c:pt idx="5">
                  <c:v>7.1603432250101406E-2</c:v>
                </c:pt>
                <c:pt idx="6">
                  <c:v>5.2527846689048863E-2</c:v>
                </c:pt>
                <c:pt idx="7">
                  <c:v>3.5834863715939913E-2</c:v>
                </c:pt>
                <c:pt idx="8">
                  <c:v>4.666890235840726E-2</c:v>
                </c:pt>
                <c:pt idx="9">
                  <c:v>0.13460986510163131</c:v>
                </c:pt>
                <c:pt idx="10">
                  <c:v>0.10945998970206694</c:v>
                </c:pt>
                <c:pt idx="11">
                  <c:v>9.383265746760916E-2</c:v>
                </c:pt>
                <c:pt idx="12">
                  <c:v>7.6690842008433735E-2</c:v>
                </c:pt>
                <c:pt idx="13">
                  <c:v>9.8831901431027158E-2</c:v>
                </c:pt>
                <c:pt idx="14">
                  <c:v>0.10088773975507825</c:v>
                </c:pt>
                <c:pt idx="15">
                  <c:v>9.5591867753324455E-2</c:v>
                </c:pt>
                <c:pt idx="16">
                  <c:v>0.11457043782197002</c:v>
                </c:pt>
                <c:pt idx="17">
                  <c:v>0.11600217676834407</c:v>
                </c:pt>
                <c:pt idx="18">
                  <c:v>0.12666695553983404</c:v>
                </c:pt>
                <c:pt idx="19">
                  <c:v>0.1506879404297467</c:v>
                </c:pt>
                <c:pt idx="20">
                  <c:v>0.16405787487481116</c:v>
                </c:pt>
                <c:pt idx="21">
                  <c:v>0.15223680710829995</c:v>
                </c:pt>
                <c:pt idx="22">
                  <c:v>0.10186356679757491</c:v>
                </c:pt>
                <c:pt idx="23">
                  <c:v>0.10303435185541795</c:v>
                </c:pt>
                <c:pt idx="24">
                  <c:v>7.2392255196625871E-2</c:v>
                </c:pt>
                <c:pt idx="25">
                  <c:v>5.8661405740499994E-2</c:v>
                </c:pt>
                <c:pt idx="26">
                  <c:v>7.4408873552061411E-2</c:v>
                </c:pt>
                <c:pt idx="27">
                  <c:v>7.3924210020080844E-2</c:v>
                </c:pt>
                <c:pt idx="28">
                  <c:v>6.4932762501210273E-2</c:v>
                </c:pt>
                <c:pt idx="29">
                  <c:v>6.4762759856095115E-2</c:v>
                </c:pt>
                <c:pt idx="30">
                  <c:v>4.9610397217704535E-2</c:v>
                </c:pt>
                <c:pt idx="31">
                  <c:v>3.235791322624515E-2</c:v>
                </c:pt>
                <c:pt idx="32">
                  <c:v>3.154976309544881E-2</c:v>
                </c:pt>
                <c:pt idx="33">
                  <c:v>3.312219676437822E-2</c:v>
                </c:pt>
                <c:pt idx="34">
                  <c:v>2.4064357941045667E-2</c:v>
                </c:pt>
                <c:pt idx="35">
                  <c:v>1.9195316155854951E-2</c:v>
                </c:pt>
                <c:pt idx="36">
                  <c:v>1.3648189063245955E-2</c:v>
                </c:pt>
                <c:pt idx="37">
                  <c:v>3.8212347951472533E-3</c:v>
                </c:pt>
                <c:pt idx="38">
                  <c:v>4.7622976905086004E-3</c:v>
                </c:pt>
                <c:pt idx="39">
                  <c:v>3.6082524953285344E-3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623-43A3-B1F8-B6BABF041C6C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Spreadsheet9.1!$AN$53:$AN$93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-7.4512456739741384E-2</c:v>
                </c:pt>
                <c:pt idx="2">
                  <c:v>-4.4929171597705098E-2</c:v>
                </c:pt>
                <c:pt idx="3">
                  <c:v>-4.6819187433057463E-2</c:v>
                </c:pt>
                <c:pt idx="4">
                  <c:v>-2.7694042044634215E-3</c:v>
                </c:pt>
                <c:pt idx="5">
                  <c:v>7.0124365038594094E-3</c:v>
                </c:pt>
                <c:pt idx="6">
                  <c:v>-4.6592051681551949E-2</c:v>
                </c:pt>
                <c:pt idx="7">
                  <c:v>-1.7788113868979938E-2</c:v>
                </c:pt>
                <c:pt idx="8">
                  <c:v>2.7160477460738464E-2</c:v>
                </c:pt>
                <c:pt idx="9">
                  <c:v>1.1717671424610387E-2</c:v>
                </c:pt>
                <c:pt idx="10">
                  <c:v>-1.58060803765388E-2</c:v>
                </c:pt>
                <c:pt idx="11">
                  <c:v>-6.948754008517799E-5</c:v>
                </c:pt>
                <c:pt idx="12">
                  <c:v>1.2670285341546961E-2</c:v>
                </c:pt>
                <c:pt idx="13">
                  <c:v>-5.4798435102257348E-3</c:v>
                </c:pt>
                <c:pt idx="14">
                  <c:v>7.3104497941166025E-3</c:v>
                </c:pt>
                <c:pt idx="15">
                  <c:v>-2.4355159704187945E-2</c:v>
                </c:pt>
                <c:pt idx="16">
                  <c:v>-6.3622869980910712E-2</c:v>
                </c:pt>
                <c:pt idx="17">
                  <c:v>-3.1611985938753917E-2</c:v>
                </c:pt>
                <c:pt idx="18">
                  <c:v>-2.9690824481351907E-2</c:v>
                </c:pt>
                <c:pt idx="19">
                  <c:v>-1.4661210453022044E-2</c:v>
                </c:pt>
                <c:pt idx="20">
                  <c:v>-8.805405204927591E-3</c:v>
                </c:pt>
                <c:pt idx="21">
                  <c:v>-3.516969703438011E-3</c:v>
                </c:pt>
                <c:pt idx="22">
                  <c:v>-4.3939585398522496E-3</c:v>
                </c:pt>
                <c:pt idx="23">
                  <c:v>1.4475796012278219E-3</c:v>
                </c:pt>
                <c:pt idx="24">
                  <c:v>4.529825940964316E-2</c:v>
                </c:pt>
                <c:pt idx="25">
                  <c:v>2.6771109338504351E-2</c:v>
                </c:pt>
                <c:pt idx="26">
                  <c:v>3.5813239554823406E-2</c:v>
                </c:pt>
                <c:pt idx="27">
                  <c:v>2.0417306790964845E-2</c:v>
                </c:pt>
                <c:pt idx="28">
                  <c:v>3.4663241959051738E-3</c:v>
                </c:pt>
                <c:pt idx="29">
                  <c:v>-1.4202737425837469E-2</c:v>
                </c:pt>
                <c:pt idx="30">
                  <c:v>-2.2691673459603962E-2</c:v>
                </c:pt>
                <c:pt idx="31">
                  <c:v>-2.5126754665783152E-2</c:v>
                </c:pt>
                <c:pt idx="32">
                  <c:v>-1.4380061468387328E-2</c:v>
                </c:pt>
                <c:pt idx="33">
                  <c:v>7.5779184906193814E-3</c:v>
                </c:pt>
                <c:pt idx="34">
                  <c:v>8.7662307394151123E-3</c:v>
                </c:pt>
                <c:pt idx="35">
                  <c:v>-1.9414280362343439E-3</c:v>
                </c:pt>
                <c:pt idx="36">
                  <c:v>1.3127453027135597E-3</c:v>
                </c:pt>
                <c:pt idx="37">
                  <c:v>-5.3862780164925239E-3</c:v>
                </c:pt>
                <c:pt idx="38">
                  <c:v>-4.2313444101488365E-3</c:v>
                </c:pt>
                <c:pt idx="39">
                  <c:v>-2.1954143179827301E-3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623-43A3-B1F8-B6BABF041C6C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Spreadsheet9.1!$AO$53:$AO$93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1.2583285677181699E-2</c:v>
                </c:pt>
                <c:pt idx="2">
                  <c:v>7.7132409607921781E-3</c:v>
                </c:pt>
                <c:pt idx="3">
                  <c:v>7.7755154975751584E-3</c:v>
                </c:pt>
                <c:pt idx="4">
                  <c:v>-5.7298529910035922E-3</c:v>
                </c:pt>
                <c:pt idx="5">
                  <c:v>-7.6096502699579793E-2</c:v>
                </c:pt>
                <c:pt idx="6">
                  <c:v>-6.4497781494353423E-2</c:v>
                </c:pt>
                <c:pt idx="7">
                  <c:v>-4.5399923619730331E-2</c:v>
                </c:pt>
                <c:pt idx="8">
                  <c:v>-2.8837055063184347E-2</c:v>
                </c:pt>
                <c:pt idx="9">
                  <c:v>-3.9654851487208487E-2</c:v>
                </c:pt>
                <c:pt idx="10">
                  <c:v>-2.4015210845211077E-2</c:v>
                </c:pt>
                <c:pt idx="11">
                  <c:v>-4.4495837929514559E-2</c:v>
                </c:pt>
                <c:pt idx="12">
                  <c:v>-6.7896378890555331E-2</c:v>
                </c:pt>
                <c:pt idx="13">
                  <c:v>-6.0622974395627027E-2</c:v>
                </c:pt>
                <c:pt idx="14">
                  <c:v>-7.3024766843651667E-2</c:v>
                </c:pt>
                <c:pt idx="15">
                  <c:v>-1.933287488265395E-2</c:v>
                </c:pt>
                <c:pt idx="16">
                  <c:v>-1.480494996739129E-2</c:v>
                </c:pt>
                <c:pt idx="17">
                  <c:v>-1.1828211052035131E-3</c:v>
                </c:pt>
                <c:pt idx="18">
                  <c:v>2.4287567394443266E-2</c:v>
                </c:pt>
                <c:pt idx="19">
                  <c:v>2.0114082335092182E-2</c:v>
                </c:pt>
                <c:pt idx="20">
                  <c:v>4.5926658414901234E-3</c:v>
                </c:pt>
                <c:pt idx="21">
                  <c:v>1.8805609063227702E-3</c:v>
                </c:pt>
                <c:pt idx="22">
                  <c:v>3.9931205007229076E-2</c:v>
                </c:pt>
                <c:pt idx="23">
                  <c:v>3.9299236180480118E-2</c:v>
                </c:pt>
                <c:pt idx="24">
                  <c:v>5.5243700427880127E-2</c:v>
                </c:pt>
                <c:pt idx="25">
                  <c:v>2.9113061913918492E-2</c:v>
                </c:pt>
                <c:pt idx="26">
                  <c:v>2.8437626438523655E-2</c:v>
                </c:pt>
                <c:pt idx="27">
                  <c:v>2.3058268579390528E-2</c:v>
                </c:pt>
                <c:pt idx="28">
                  <c:v>1.5901170082549515E-2</c:v>
                </c:pt>
                <c:pt idx="29">
                  <c:v>-7.4340296147879514E-3</c:v>
                </c:pt>
                <c:pt idx="30">
                  <c:v>7.1376222267655054E-4</c:v>
                </c:pt>
                <c:pt idx="31">
                  <c:v>-9.5718164858770161E-3</c:v>
                </c:pt>
                <c:pt idx="32">
                  <c:v>-1.8786371490033094E-2</c:v>
                </c:pt>
                <c:pt idx="33">
                  <c:v>-1.7310335123615059E-2</c:v>
                </c:pt>
                <c:pt idx="34">
                  <c:v>-1.5541882661634171E-2</c:v>
                </c:pt>
                <c:pt idx="35">
                  <c:v>-1.3715232935389232E-2</c:v>
                </c:pt>
                <c:pt idx="36">
                  <c:v>-5.4408950641735634E-3</c:v>
                </c:pt>
                <c:pt idx="37">
                  <c:v>3.2735983899146448E-3</c:v>
                </c:pt>
                <c:pt idx="38">
                  <c:v>1.3467074510134514E-4</c:v>
                </c:pt>
                <c:pt idx="39">
                  <c:v>4.6033217162194488E-4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623-43A3-B1F8-B6BABF041C6C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Spreadsheet9.1!$AP$53:$AP$93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4.107015794552249E-2</c:v>
                </c:pt>
                <c:pt idx="2">
                  <c:v>4.3704917475360594E-2</c:v>
                </c:pt>
                <c:pt idx="3">
                  <c:v>6.3037323429844694E-2</c:v>
                </c:pt>
                <c:pt idx="4">
                  <c:v>3.1201239673964543E-2</c:v>
                </c:pt>
                <c:pt idx="5">
                  <c:v>2.623203707567251E-2</c:v>
                </c:pt>
                <c:pt idx="6">
                  <c:v>7.9435310744771559E-2</c:v>
                </c:pt>
                <c:pt idx="7">
                  <c:v>8.0412540099045027E-2</c:v>
                </c:pt>
                <c:pt idx="8">
                  <c:v>6.0811304829038126E-2</c:v>
                </c:pt>
                <c:pt idx="9">
                  <c:v>6.0546732936747283E-2</c:v>
                </c:pt>
                <c:pt idx="10">
                  <c:v>6.3556745996548369E-2</c:v>
                </c:pt>
                <c:pt idx="11">
                  <c:v>7.3027391815120579E-2</c:v>
                </c:pt>
                <c:pt idx="12">
                  <c:v>6.1907113295087579E-2</c:v>
                </c:pt>
                <c:pt idx="13">
                  <c:v>5.4206803835969319E-2</c:v>
                </c:pt>
                <c:pt idx="14">
                  <c:v>4.5487242849933773E-2</c:v>
                </c:pt>
                <c:pt idx="15">
                  <c:v>4.4446508259007367E-2</c:v>
                </c:pt>
                <c:pt idx="16">
                  <c:v>3.0706340319716474E-2</c:v>
                </c:pt>
                <c:pt idx="17">
                  <c:v>3.1831234791036167E-2</c:v>
                </c:pt>
                <c:pt idx="18">
                  <c:v>2.5658993276887559E-2</c:v>
                </c:pt>
                <c:pt idx="19">
                  <c:v>9.2103729625454267E-3</c:v>
                </c:pt>
                <c:pt idx="20">
                  <c:v>-4.945420791703542E-3</c:v>
                </c:pt>
                <c:pt idx="21">
                  <c:v>7.1181770591162707E-3</c:v>
                </c:pt>
                <c:pt idx="22">
                  <c:v>1.6494086005051645E-2</c:v>
                </c:pt>
                <c:pt idx="23">
                  <c:v>3.2320055271854692E-2</c:v>
                </c:pt>
                <c:pt idx="24">
                  <c:v>5.8046011308125645E-2</c:v>
                </c:pt>
                <c:pt idx="25">
                  <c:v>5.1859956490975662E-2</c:v>
                </c:pt>
                <c:pt idx="26">
                  <c:v>5.4295861291635272E-2</c:v>
                </c:pt>
                <c:pt idx="27">
                  <c:v>5.7372374117234504E-2</c:v>
                </c:pt>
                <c:pt idx="28">
                  <c:v>5.3114651816792258E-2</c:v>
                </c:pt>
                <c:pt idx="29">
                  <c:v>4.0009129256832948E-2</c:v>
                </c:pt>
                <c:pt idx="30">
                  <c:v>4.227444573516688E-2</c:v>
                </c:pt>
                <c:pt idx="31">
                  <c:v>3.979841975838308E-2</c:v>
                </c:pt>
                <c:pt idx="32">
                  <c:v>4.4679008053854455E-2</c:v>
                </c:pt>
                <c:pt idx="33">
                  <c:v>4.1574340017690406E-2</c:v>
                </c:pt>
                <c:pt idx="34">
                  <c:v>4.4351235943218534E-2</c:v>
                </c:pt>
                <c:pt idx="35">
                  <c:v>1.933072953568879E-2</c:v>
                </c:pt>
                <c:pt idx="36">
                  <c:v>1.6497823475414869E-2</c:v>
                </c:pt>
                <c:pt idx="37">
                  <c:v>8.7046888782424323E-3</c:v>
                </c:pt>
                <c:pt idx="38">
                  <c:v>1.9146003556694581E-3</c:v>
                </c:pt>
                <c:pt idx="39">
                  <c:v>9.4340275336824569E-4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623-43A3-B1F8-B6BABF041C6C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Spreadsheet9.1!$AQ$53:$AQ$93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-2.2426391460892425E-3</c:v>
                </c:pt>
                <c:pt idx="2">
                  <c:v>-5.2464337224780389E-2</c:v>
                </c:pt>
                <c:pt idx="3">
                  <c:v>-7.4029357992391409E-2</c:v>
                </c:pt>
                <c:pt idx="4">
                  <c:v>-6.2921679997444913E-2</c:v>
                </c:pt>
                <c:pt idx="5">
                  <c:v>-7.0075726181746345E-2</c:v>
                </c:pt>
                <c:pt idx="6">
                  <c:v>-8.4506353917555066E-2</c:v>
                </c:pt>
                <c:pt idx="7">
                  <c:v>-9.4078598491604493E-2</c:v>
                </c:pt>
                <c:pt idx="8">
                  <c:v>-7.7793191774325421E-2</c:v>
                </c:pt>
                <c:pt idx="9">
                  <c:v>-9.2051374853359125E-2</c:v>
                </c:pt>
                <c:pt idx="10">
                  <c:v>-0.10454526702451489</c:v>
                </c:pt>
                <c:pt idx="11">
                  <c:v>-9.5253093299143277E-2</c:v>
                </c:pt>
                <c:pt idx="12">
                  <c:v>-9.1750986521760114E-2</c:v>
                </c:pt>
                <c:pt idx="13">
                  <c:v>-8.3903536707753135E-2</c:v>
                </c:pt>
                <c:pt idx="14">
                  <c:v>-7.4045581139716155E-2</c:v>
                </c:pt>
                <c:pt idx="15">
                  <c:v>-8.2587469338114172E-2</c:v>
                </c:pt>
                <c:pt idx="16">
                  <c:v>-8.6682577407580785E-2</c:v>
                </c:pt>
                <c:pt idx="17">
                  <c:v>-0.11180176772129852</c:v>
                </c:pt>
                <c:pt idx="18">
                  <c:v>-8.8800807356981787E-2</c:v>
                </c:pt>
                <c:pt idx="19">
                  <c:v>-0.11212727052554924</c:v>
                </c:pt>
                <c:pt idx="20">
                  <c:v>-9.2483264109269936E-2</c:v>
                </c:pt>
                <c:pt idx="21">
                  <c:v>-8.2055056594840775E-2</c:v>
                </c:pt>
                <c:pt idx="22">
                  <c:v>-7.6946331706562204E-2</c:v>
                </c:pt>
                <c:pt idx="23">
                  <c:v>-8.7115612317641866E-2</c:v>
                </c:pt>
                <c:pt idx="24">
                  <c:v>-9.0997645439874042E-2</c:v>
                </c:pt>
                <c:pt idx="25">
                  <c:v>-0.10495222349929689</c:v>
                </c:pt>
                <c:pt idx="26">
                  <c:v>-0.11541665216985275</c:v>
                </c:pt>
                <c:pt idx="27">
                  <c:v>-0.12137149275041609</c:v>
                </c:pt>
                <c:pt idx="28">
                  <c:v>-0.11942987920676165</c:v>
                </c:pt>
                <c:pt idx="29">
                  <c:v>-9.9405361278451246E-2</c:v>
                </c:pt>
                <c:pt idx="30">
                  <c:v>-9.5735076448113646E-2</c:v>
                </c:pt>
                <c:pt idx="31">
                  <c:v>-8.6035117133599182E-2</c:v>
                </c:pt>
                <c:pt idx="32">
                  <c:v>-7.576626485426538E-2</c:v>
                </c:pt>
                <c:pt idx="33">
                  <c:v>-6.0650271718262677E-2</c:v>
                </c:pt>
                <c:pt idx="34">
                  <c:v>-4.9425044537684371E-2</c:v>
                </c:pt>
                <c:pt idx="35">
                  <c:v>-4.0114593301964846E-2</c:v>
                </c:pt>
                <c:pt idx="36">
                  <c:v>-3.7195571106196229E-2</c:v>
                </c:pt>
                <c:pt idx="37">
                  <c:v>-2.3617169006314609E-2</c:v>
                </c:pt>
                <c:pt idx="38">
                  <c:v>-1.2291017878159522E-2</c:v>
                </c:pt>
                <c:pt idx="39">
                  <c:v>-7.9687503692774473E-3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623-43A3-B1F8-B6BABF041C6C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Spreadsheet9.1!$AR$53:$AR$93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6.4844363246864267E-3</c:v>
                </c:pt>
                <c:pt idx="2">
                  <c:v>1.9119485046094842E-2</c:v>
                </c:pt>
                <c:pt idx="3">
                  <c:v>9.057269076856056E-3</c:v>
                </c:pt>
                <c:pt idx="4">
                  <c:v>2.4049305438355317E-2</c:v>
                </c:pt>
                <c:pt idx="5">
                  <c:v>8.4604129428291486E-2</c:v>
                </c:pt>
                <c:pt idx="6">
                  <c:v>6.0571179724012769E-2</c:v>
                </c:pt>
                <c:pt idx="7">
                  <c:v>6.4605119329047389E-2</c:v>
                </c:pt>
                <c:pt idx="8">
                  <c:v>2.6114299849540612E-2</c:v>
                </c:pt>
                <c:pt idx="9">
                  <c:v>3.4992252392667178E-2</c:v>
                </c:pt>
                <c:pt idx="10">
                  <c:v>1.8364492905089846E-2</c:v>
                </c:pt>
                <c:pt idx="11">
                  <c:v>8.5349617923150545E-3</c:v>
                </c:pt>
                <c:pt idx="12">
                  <c:v>4.2541590840468657E-2</c:v>
                </c:pt>
                <c:pt idx="13">
                  <c:v>5.0817067082953304E-2</c:v>
                </c:pt>
                <c:pt idx="14">
                  <c:v>5.9594394357824487E-2</c:v>
                </c:pt>
                <c:pt idx="15">
                  <c:v>8.8266306980245401E-2</c:v>
                </c:pt>
                <c:pt idx="16">
                  <c:v>0.1011492053182787</c:v>
                </c:pt>
                <c:pt idx="17">
                  <c:v>0.10114959470323714</c:v>
                </c:pt>
                <c:pt idx="18">
                  <c:v>7.9843074501785016E-2</c:v>
                </c:pt>
                <c:pt idx="19">
                  <c:v>6.1874523242209767E-2</c:v>
                </c:pt>
                <c:pt idx="20">
                  <c:v>8.3244839762596307E-2</c:v>
                </c:pt>
                <c:pt idx="21">
                  <c:v>7.5559296701619622E-2</c:v>
                </c:pt>
                <c:pt idx="22">
                  <c:v>7.8091867765820111E-2</c:v>
                </c:pt>
                <c:pt idx="23">
                  <c:v>6.641431395277908E-2</c:v>
                </c:pt>
                <c:pt idx="24">
                  <c:v>4.1616150869348389E-2</c:v>
                </c:pt>
                <c:pt idx="25">
                  <c:v>4.765068594340871E-2</c:v>
                </c:pt>
                <c:pt idx="26">
                  <c:v>4.8193174567829511E-2</c:v>
                </c:pt>
                <c:pt idx="27">
                  <c:v>4.184122377591129E-2</c:v>
                </c:pt>
                <c:pt idx="28">
                  <c:v>5.0806089749833028E-2</c:v>
                </c:pt>
                <c:pt idx="29">
                  <c:v>4.1015218777391615E-2</c:v>
                </c:pt>
                <c:pt idx="30">
                  <c:v>3.1530756612276473E-2</c:v>
                </c:pt>
                <c:pt idx="31">
                  <c:v>4.0371779230757729E-2</c:v>
                </c:pt>
                <c:pt idx="32">
                  <c:v>3.7010788531459296E-2</c:v>
                </c:pt>
                <c:pt idx="33">
                  <c:v>4.4122421851520099E-2</c:v>
                </c:pt>
                <c:pt idx="34">
                  <c:v>5.0680434890709128E-2</c:v>
                </c:pt>
                <c:pt idx="35">
                  <c:v>4.3371245924640089E-2</c:v>
                </c:pt>
                <c:pt idx="36">
                  <c:v>2.8703204358411796E-2</c:v>
                </c:pt>
                <c:pt idx="37">
                  <c:v>2.2839462444652917E-2</c:v>
                </c:pt>
                <c:pt idx="38">
                  <c:v>1.7766357087721535E-2</c:v>
                </c:pt>
                <c:pt idx="39">
                  <c:v>9.8297596484380051E-3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623-43A3-B1F8-B6BABF041C6C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Spreadsheet9.1!$AS$53:$AS$93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-1.8340424652355691E-2</c:v>
                </c:pt>
                <c:pt idx="2">
                  <c:v>-1.4295693751134375E-2</c:v>
                </c:pt>
                <c:pt idx="3">
                  <c:v>-1.1277070842957149E-2</c:v>
                </c:pt>
                <c:pt idx="4">
                  <c:v>-4.3852847273715412E-3</c:v>
                </c:pt>
                <c:pt idx="5">
                  <c:v>-8.1770735743292855E-3</c:v>
                </c:pt>
                <c:pt idx="6">
                  <c:v>-4.3059111372719672E-2</c:v>
                </c:pt>
                <c:pt idx="7">
                  <c:v>-2.7348356061020929E-2</c:v>
                </c:pt>
                <c:pt idx="8">
                  <c:v>1.1448958326573666E-3</c:v>
                </c:pt>
                <c:pt idx="9">
                  <c:v>4.4997876740029974E-2</c:v>
                </c:pt>
                <c:pt idx="10">
                  <c:v>4.2688777846305648E-2</c:v>
                </c:pt>
                <c:pt idx="11">
                  <c:v>6.1482893334342814E-2</c:v>
                </c:pt>
                <c:pt idx="12">
                  <c:v>2.9093977594396858E-2</c:v>
                </c:pt>
                <c:pt idx="13">
                  <c:v>5.7492640382196036E-2</c:v>
                </c:pt>
                <c:pt idx="14">
                  <c:v>4.3539143899868016E-2</c:v>
                </c:pt>
                <c:pt idx="15">
                  <c:v>2.4363531340831246E-2</c:v>
                </c:pt>
                <c:pt idx="16">
                  <c:v>9.1940542940268655E-3</c:v>
                </c:pt>
                <c:pt idx="17">
                  <c:v>1.4297170580798879E-2</c:v>
                </c:pt>
                <c:pt idx="18">
                  <c:v>-1.6639918649386604E-2</c:v>
                </c:pt>
                <c:pt idx="19">
                  <c:v>-1.481341711762188E-2</c:v>
                </c:pt>
                <c:pt idx="20">
                  <c:v>-7.6980179140458127E-3</c:v>
                </c:pt>
                <c:pt idx="21">
                  <c:v>-6.9901478860384669E-3</c:v>
                </c:pt>
                <c:pt idx="22">
                  <c:v>-1.8128619267865353E-5</c:v>
                </c:pt>
                <c:pt idx="23">
                  <c:v>2.2931621342973607E-2</c:v>
                </c:pt>
                <c:pt idx="24">
                  <c:v>-1.0913702209756071E-3</c:v>
                </c:pt>
                <c:pt idx="25">
                  <c:v>-1.4966554171315399E-2</c:v>
                </c:pt>
                <c:pt idx="26">
                  <c:v>-1.91349035714313E-2</c:v>
                </c:pt>
                <c:pt idx="27">
                  <c:v>-4.4111845568014257E-2</c:v>
                </c:pt>
                <c:pt idx="28">
                  <c:v>-4.0397210362140917E-2</c:v>
                </c:pt>
                <c:pt idx="29">
                  <c:v>-4.4281051580042141E-2</c:v>
                </c:pt>
                <c:pt idx="30">
                  <c:v>-4.6027171284817592E-2</c:v>
                </c:pt>
                <c:pt idx="31">
                  <c:v>-4.2547871003968063E-2</c:v>
                </c:pt>
                <c:pt idx="32">
                  <c:v>-3.226218084180231E-2</c:v>
                </c:pt>
                <c:pt idx="33">
                  <c:v>-1.376780143383001E-2</c:v>
                </c:pt>
                <c:pt idx="34">
                  <c:v>-1.4088552413455385E-2</c:v>
                </c:pt>
                <c:pt idx="35">
                  <c:v>-2.348174321616131E-3</c:v>
                </c:pt>
                <c:pt idx="36">
                  <c:v>-8.8894391783107193E-3</c:v>
                </c:pt>
                <c:pt idx="37">
                  <c:v>-3.4882524340333343E-3</c:v>
                </c:pt>
                <c:pt idx="38">
                  <c:v>2.5605573947323039E-3</c:v>
                </c:pt>
                <c:pt idx="39">
                  <c:v>-5.9090366536274953E-4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623-43A3-B1F8-B6BABF041C6C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Spreadsheet9.1!$AT$53:$AT$93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1.1654808460768051E-2</c:v>
                </c:pt>
                <c:pt idx="2">
                  <c:v>6.9256472059788798E-3</c:v>
                </c:pt>
                <c:pt idx="3">
                  <c:v>-3.8461384475261262E-2</c:v>
                </c:pt>
                <c:pt idx="4">
                  <c:v>-9.5704604574128882E-3</c:v>
                </c:pt>
                <c:pt idx="5">
                  <c:v>-3.0091922423099216E-2</c:v>
                </c:pt>
                <c:pt idx="6">
                  <c:v>-5.2507232444682361E-2</c:v>
                </c:pt>
                <c:pt idx="7">
                  <c:v>-7.3373573060035446E-2</c:v>
                </c:pt>
                <c:pt idx="8">
                  <c:v>-5.3117673354694361E-2</c:v>
                </c:pt>
                <c:pt idx="9">
                  <c:v>-4.9560073821467876E-2</c:v>
                </c:pt>
                <c:pt idx="10">
                  <c:v>-4.0909643809594054E-2</c:v>
                </c:pt>
                <c:pt idx="11">
                  <c:v>-1.863390117827024E-2</c:v>
                </c:pt>
                <c:pt idx="12">
                  <c:v>-3.3081203170244211E-2</c:v>
                </c:pt>
                <c:pt idx="13">
                  <c:v>-6.0532496718594397E-3</c:v>
                </c:pt>
                <c:pt idx="14">
                  <c:v>-8.2102005959289737E-3</c:v>
                </c:pt>
                <c:pt idx="15">
                  <c:v>-1.6365561915384297E-2</c:v>
                </c:pt>
                <c:pt idx="16">
                  <c:v>-1.9560398558215841E-2</c:v>
                </c:pt>
                <c:pt idx="17">
                  <c:v>6.0937335612552546E-3</c:v>
                </c:pt>
                <c:pt idx="18">
                  <c:v>1.4045357979494355E-2</c:v>
                </c:pt>
                <c:pt idx="19">
                  <c:v>3.2818362397473072E-2</c:v>
                </c:pt>
                <c:pt idx="20">
                  <c:v>4.9006711213826937E-2</c:v>
                </c:pt>
                <c:pt idx="21">
                  <c:v>3.5443519166679954E-2</c:v>
                </c:pt>
                <c:pt idx="22">
                  <c:v>2.2258253900219266E-2</c:v>
                </c:pt>
                <c:pt idx="23">
                  <c:v>4.2061429999661032E-2</c:v>
                </c:pt>
                <c:pt idx="24">
                  <c:v>2.2841909740307309E-2</c:v>
                </c:pt>
                <c:pt idx="25">
                  <c:v>3.2339027223888678E-2</c:v>
                </c:pt>
                <c:pt idx="26">
                  <c:v>1.738305214950997E-2</c:v>
                </c:pt>
                <c:pt idx="27">
                  <c:v>-1.4129272796648551E-3</c:v>
                </c:pt>
                <c:pt idx="28">
                  <c:v>5.3345553483520602E-3</c:v>
                </c:pt>
                <c:pt idx="29">
                  <c:v>1.504066004143656E-3</c:v>
                </c:pt>
                <c:pt idx="30">
                  <c:v>-1.8601827376182323E-3</c:v>
                </c:pt>
                <c:pt idx="31">
                  <c:v>6.4028019548448278E-4</c:v>
                </c:pt>
                <c:pt idx="32">
                  <c:v>3.7288419054393174E-4</c:v>
                </c:pt>
                <c:pt idx="33">
                  <c:v>-3.3527404266119332E-3</c:v>
                </c:pt>
                <c:pt idx="34">
                  <c:v>-2.5997761554887588E-3</c:v>
                </c:pt>
                <c:pt idx="35">
                  <c:v>3.3628108598399292E-3</c:v>
                </c:pt>
                <c:pt idx="36">
                  <c:v>3.9532336641471405E-4</c:v>
                </c:pt>
                <c:pt idx="37">
                  <c:v>2.0390818736224919E-3</c:v>
                </c:pt>
                <c:pt idx="38">
                  <c:v>2.0608946032856443E-3</c:v>
                </c:pt>
                <c:pt idx="39">
                  <c:v>-1.6952795571317496E-3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623-43A3-B1F8-B6BABF041C6C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Spreadsheet9.1!$AU$53:$AU$93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2.2197800751727281E-2</c:v>
                </c:pt>
                <c:pt idx="2">
                  <c:v>-1.2403808439009345E-2</c:v>
                </c:pt>
                <c:pt idx="3">
                  <c:v>-4.2953262076036558E-2</c:v>
                </c:pt>
                <c:pt idx="4">
                  <c:v>-9.7407453401539612E-2</c:v>
                </c:pt>
                <c:pt idx="5">
                  <c:v>-9.6034479475465617E-2</c:v>
                </c:pt>
                <c:pt idx="6">
                  <c:v>-9.0467917959516586E-2</c:v>
                </c:pt>
                <c:pt idx="7">
                  <c:v>-5.785316662924006E-2</c:v>
                </c:pt>
                <c:pt idx="8">
                  <c:v>-4.1332494248737583E-2</c:v>
                </c:pt>
                <c:pt idx="9">
                  <c:v>-5.8167507808685015E-2</c:v>
                </c:pt>
                <c:pt idx="10">
                  <c:v>-5.5979280342560334E-2</c:v>
                </c:pt>
                <c:pt idx="11">
                  <c:v>-7.3965381213371151E-2</c:v>
                </c:pt>
                <c:pt idx="12">
                  <c:v>-6.7086178607325075E-2</c:v>
                </c:pt>
                <c:pt idx="13">
                  <c:v>-4.1205371451370876E-2</c:v>
                </c:pt>
                <c:pt idx="14">
                  <c:v>-1.0966321805341739E-2</c:v>
                </c:pt>
                <c:pt idx="15">
                  <c:v>7.9741420545553221E-3</c:v>
                </c:pt>
                <c:pt idx="16">
                  <c:v>7.1208103733605421E-3</c:v>
                </c:pt>
                <c:pt idx="17">
                  <c:v>1.1269337811335767E-2</c:v>
                </c:pt>
                <c:pt idx="18">
                  <c:v>2.6683168091161003E-2</c:v>
                </c:pt>
                <c:pt idx="19">
                  <c:v>2.5701915241222201E-2</c:v>
                </c:pt>
                <c:pt idx="20">
                  <c:v>3.4629390461739573E-2</c:v>
                </c:pt>
                <c:pt idx="21">
                  <c:v>-5.2189098390467703E-4</c:v>
                </c:pt>
                <c:pt idx="22">
                  <c:v>-1.8805259011318992E-2</c:v>
                </c:pt>
                <c:pt idx="23">
                  <c:v>5.1158478226520643E-4</c:v>
                </c:pt>
                <c:pt idx="24">
                  <c:v>-2.2243970261878743E-2</c:v>
                </c:pt>
                <c:pt idx="25">
                  <c:v>-8.1086625425907666E-3</c:v>
                </c:pt>
                <c:pt idx="26">
                  <c:v>1.1155535903368263E-3</c:v>
                </c:pt>
                <c:pt idx="27">
                  <c:v>-1.916286326905875E-2</c:v>
                </c:pt>
                <c:pt idx="28">
                  <c:v>-1.9379550750613178E-2</c:v>
                </c:pt>
                <c:pt idx="29">
                  <c:v>-3.1634598580942225E-2</c:v>
                </c:pt>
                <c:pt idx="30">
                  <c:v>-2.2156422602394032E-2</c:v>
                </c:pt>
                <c:pt idx="31">
                  <c:v>-2.8493838462004262E-2</c:v>
                </c:pt>
                <c:pt idx="32">
                  <c:v>-2.6410611947594656E-2</c:v>
                </c:pt>
                <c:pt idx="33">
                  <c:v>-3.6782606389824904E-2</c:v>
                </c:pt>
                <c:pt idx="34">
                  <c:v>-3.5693922438398987E-2</c:v>
                </c:pt>
                <c:pt idx="35">
                  <c:v>-1.8475082590685671E-2</c:v>
                </c:pt>
                <c:pt idx="36">
                  <c:v>-3.9282981855104371E-3</c:v>
                </c:pt>
                <c:pt idx="37">
                  <c:v>-5.3150684700907294E-3</c:v>
                </c:pt>
                <c:pt idx="38">
                  <c:v>-5.3182026463271317E-3</c:v>
                </c:pt>
                <c:pt idx="39">
                  <c:v>-2.2437446419278674E-3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623-43A3-B1F8-B6BABF041C6C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Spreadsheet9.1!$AV$53:$AV$93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2.2371009307729617E-2</c:v>
                </c:pt>
                <c:pt idx="2">
                  <c:v>1.552836268705815E-2</c:v>
                </c:pt>
                <c:pt idx="3">
                  <c:v>1.9801495290153515E-2</c:v>
                </c:pt>
                <c:pt idx="4">
                  <c:v>2.9042787007545312E-2</c:v>
                </c:pt>
                <c:pt idx="5">
                  <c:v>-3.7781353854984268E-3</c:v>
                </c:pt>
                <c:pt idx="6">
                  <c:v>3.2625008152645796E-2</c:v>
                </c:pt>
                <c:pt idx="7">
                  <c:v>4.9445018984142775E-2</c:v>
                </c:pt>
                <c:pt idx="8">
                  <c:v>3.6957527574360882E-2</c:v>
                </c:pt>
                <c:pt idx="9">
                  <c:v>6.7990038612736003E-2</c:v>
                </c:pt>
                <c:pt idx="10">
                  <c:v>0.13605263027854952</c:v>
                </c:pt>
                <c:pt idx="11">
                  <c:v>0.13552950791939494</c:v>
                </c:pt>
                <c:pt idx="12">
                  <c:v>0.1546699137758058</c:v>
                </c:pt>
                <c:pt idx="13">
                  <c:v>0.14573673095959383</c:v>
                </c:pt>
                <c:pt idx="14">
                  <c:v>0.12179789915370592</c:v>
                </c:pt>
                <c:pt idx="15">
                  <c:v>0.14825294309056641</c:v>
                </c:pt>
                <c:pt idx="16">
                  <c:v>0.15341469672860703</c:v>
                </c:pt>
                <c:pt idx="17">
                  <c:v>0.13747099485112746</c:v>
                </c:pt>
                <c:pt idx="18">
                  <c:v>0.11320692110888975</c:v>
                </c:pt>
                <c:pt idx="19">
                  <c:v>0.11864244624592704</c:v>
                </c:pt>
                <c:pt idx="20">
                  <c:v>0.11756272901965528</c:v>
                </c:pt>
                <c:pt idx="21">
                  <c:v>0.11089145805396161</c:v>
                </c:pt>
                <c:pt idx="22">
                  <c:v>0.11563173026217094</c:v>
                </c:pt>
                <c:pt idx="23">
                  <c:v>0.14368780023451522</c:v>
                </c:pt>
                <c:pt idx="24">
                  <c:v>0.14139301195245615</c:v>
                </c:pt>
                <c:pt idx="25">
                  <c:v>0.15276023109181627</c:v>
                </c:pt>
                <c:pt idx="26">
                  <c:v>0.1465308191023168</c:v>
                </c:pt>
                <c:pt idx="27">
                  <c:v>0.11858939406275348</c:v>
                </c:pt>
                <c:pt idx="28">
                  <c:v>9.262302777003123E-2</c:v>
                </c:pt>
                <c:pt idx="29">
                  <c:v>8.2783988987595591E-2</c:v>
                </c:pt>
                <c:pt idx="30">
                  <c:v>6.4864315505671274E-2</c:v>
                </c:pt>
                <c:pt idx="31">
                  <c:v>4.994331809001272E-2</c:v>
                </c:pt>
                <c:pt idx="32">
                  <c:v>4.9449682006728321E-2</c:v>
                </c:pt>
                <c:pt idx="33">
                  <c:v>3.4927963439073895E-2</c:v>
                </c:pt>
                <c:pt idx="34">
                  <c:v>3.5981876918916494E-2</c:v>
                </c:pt>
                <c:pt idx="35">
                  <c:v>3.5696627452004519E-2</c:v>
                </c:pt>
                <c:pt idx="36">
                  <c:v>2.7677511735865037E-2</c:v>
                </c:pt>
                <c:pt idx="37">
                  <c:v>2.3352579405146533E-2</c:v>
                </c:pt>
                <c:pt idx="38">
                  <c:v>1.1327222292383868E-2</c:v>
                </c:pt>
                <c:pt idx="39">
                  <c:v>4.0806604080468063E-3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623-43A3-B1F8-B6BABF041C6C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Spreadsheet9.1!$AW$53:$AW$93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-2.032869436998741E-2</c:v>
                </c:pt>
                <c:pt idx="2">
                  <c:v>-5.5503782314299532E-3</c:v>
                </c:pt>
                <c:pt idx="3">
                  <c:v>1.4767225039322929E-2</c:v>
                </c:pt>
                <c:pt idx="4">
                  <c:v>2.6034035003197176E-2</c:v>
                </c:pt>
                <c:pt idx="5">
                  <c:v>6.6639234658166235E-3</c:v>
                </c:pt>
                <c:pt idx="6">
                  <c:v>-8.9552493340341321E-3</c:v>
                </c:pt>
                <c:pt idx="7">
                  <c:v>1.1863999493918476E-2</c:v>
                </c:pt>
                <c:pt idx="8">
                  <c:v>-1.6574332116327584E-2</c:v>
                </c:pt>
                <c:pt idx="9">
                  <c:v>2.0291063657525144E-2</c:v>
                </c:pt>
                <c:pt idx="10">
                  <c:v>-3.4047676072355704E-3</c:v>
                </c:pt>
                <c:pt idx="11">
                  <c:v>3.4613213185794633E-2</c:v>
                </c:pt>
                <c:pt idx="12">
                  <c:v>1.8029532628949629E-2</c:v>
                </c:pt>
                <c:pt idx="13">
                  <c:v>5.3877536536920123E-2</c:v>
                </c:pt>
                <c:pt idx="14">
                  <c:v>4.0829502582222954E-2</c:v>
                </c:pt>
                <c:pt idx="15">
                  <c:v>7.4304963362433196E-3</c:v>
                </c:pt>
                <c:pt idx="16">
                  <c:v>-5.6866603915582958E-3</c:v>
                </c:pt>
                <c:pt idx="17">
                  <c:v>-1.8202958016790505E-2</c:v>
                </c:pt>
                <c:pt idx="18">
                  <c:v>2.411002622159078E-2</c:v>
                </c:pt>
                <c:pt idx="19">
                  <c:v>5.1600024650934384E-2</c:v>
                </c:pt>
                <c:pt idx="20">
                  <c:v>2.9556477038680307E-2</c:v>
                </c:pt>
                <c:pt idx="21">
                  <c:v>3.2479515825077021E-2</c:v>
                </c:pt>
                <c:pt idx="22">
                  <c:v>2.2248129937878364E-2</c:v>
                </c:pt>
                <c:pt idx="23">
                  <c:v>-5.6038889597226083E-3</c:v>
                </c:pt>
                <c:pt idx="24">
                  <c:v>1.559253177961184E-3</c:v>
                </c:pt>
                <c:pt idx="25">
                  <c:v>1.5337617694716532E-2</c:v>
                </c:pt>
                <c:pt idx="26">
                  <c:v>1.4789076380691935E-2</c:v>
                </c:pt>
                <c:pt idx="27">
                  <c:v>2.6893228431901506E-3</c:v>
                </c:pt>
                <c:pt idx="28">
                  <c:v>6.6304545922624136E-3</c:v>
                </c:pt>
                <c:pt idx="29">
                  <c:v>4.961377411955542E-3</c:v>
                </c:pt>
                <c:pt idx="30">
                  <c:v>9.7064562488148598E-3</c:v>
                </c:pt>
                <c:pt idx="31">
                  <c:v>1.4916373154787776E-2</c:v>
                </c:pt>
                <c:pt idx="32">
                  <c:v>1.7213650200694583E-2</c:v>
                </c:pt>
                <c:pt idx="33">
                  <c:v>8.7304520283852383E-3</c:v>
                </c:pt>
                <c:pt idx="34">
                  <c:v>3.8378828843918661E-3</c:v>
                </c:pt>
                <c:pt idx="35">
                  <c:v>-7.7519970241987646E-4</c:v>
                </c:pt>
                <c:pt idx="36">
                  <c:v>-2.7451710808750127E-3</c:v>
                </c:pt>
                <c:pt idx="37">
                  <c:v>-3.1421428297236098E-4</c:v>
                </c:pt>
                <c:pt idx="38">
                  <c:v>1.1256187125589789E-4</c:v>
                </c:pt>
                <c:pt idx="39">
                  <c:v>-1.7195759240259192E-3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623-43A3-B1F8-B6BABF041C6C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Spreadsheet9.1!$AX$53:$AX$93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-2.0285610173786939E-4</c:v>
                </c:pt>
                <c:pt idx="2">
                  <c:v>-4.191661232951116E-3</c:v>
                </c:pt>
                <c:pt idx="3">
                  <c:v>1.4158429374347969E-3</c:v>
                </c:pt>
                <c:pt idx="4">
                  <c:v>5.6326925848158682E-2</c:v>
                </c:pt>
                <c:pt idx="5">
                  <c:v>5.2876034082781742E-2</c:v>
                </c:pt>
                <c:pt idx="6">
                  <c:v>5.7966028901561273E-2</c:v>
                </c:pt>
                <c:pt idx="7">
                  <c:v>8.8047688806904778E-2</c:v>
                </c:pt>
                <c:pt idx="8">
                  <c:v>6.1081013641488768E-2</c:v>
                </c:pt>
                <c:pt idx="9">
                  <c:v>5.8746593745479414E-2</c:v>
                </c:pt>
                <c:pt idx="10">
                  <c:v>5.7984330737947343E-2</c:v>
                </c:pt>
                <c:pt idx="11">
                  <c:v>5.3663058229213023E-2</c:v>
                </c:pt>
                <c:pt idx="12">
                  <c:v>2.2447528109428072E-2</c:v>
                </c:pt>
                <c:pt idx="13">
                  <c:v>-9.0223311899423342E-3</c:v>
                </c:pt>
                <c:pt idx="14">
                  <c:v>-2.8820364121408371E-2</c:v>
                </c:pt>
                <c:pt idx="15">
                  <c:v>-7.537919722550579E-4</c:v>
                </c:pt>
                <c:pt idx="16">
                  <c:v>-2.8358330910716989E-2</c:v>
                </c:pt>
                <c:pt idx="17">
                  <c:v>-1.0587026593813803E-2</c:v>
                </c:pt>
                <c:pt idx="18">
                  <c:v>-4.5927331616165384E-2</c:v>
                </c:pt>
                <c:pt idx="19">
                  <c:v>-2.825859091013061E-2</c:v>
                </c:pt>
                <c:pt idx="20">
                  <c:v>-2.4935253894823872E-2</c:v>
                </c:pt>
                <c:pt idx="21">
                  <c:v>-1.3594939578646326E-2</c:v>
                </c:pt>
                <c:pt idx="22">
                  <c:v>-3.7436478714188037E-2</c:v>
                </c:pt>
                <c:pt idx="23">
                  <c:v>-3.4372977096955831E-2</c:v>
                </c:pt>
                <c:pt idx="24">
                  <c:v>-5.2649716694425169E-2</c:v>
                </c:pt>
                <c:pt idx="25">
                  <c:v>-6.875488152142728E-2</c:v>
                </c:pt>
                <c:pt idx="26">
                  <c:v>-4.872717499839363E-2</c:v>
                </c:pt>
                <c:pt idx="27">
                  <c:v>-3.2311921897870938E-2</c:v>
                </c:pt>
                <c:pt idx="28">
                  <c:v>-3.2594601817793112E-2</c:v>
                </c:pt>
                <c:pt idx="29">
                  <c:v>-4.5902569304257082E-2</c:v>
                </c:pt>
                <c:pt idx="30">
                  <c:v>-2.7476056807375748E-2</c:v>
                </c:pt>
                <c:pt idx="31">
                  <c:v>-7.0504052613406115E-3</c:v>
                </c:pt>
                <c:pt idx="32">
                  <c:v>-1.1372775632770712E-2</c:v>
                </c:pt>
                <c:pt idx="33">
                  <c:v>-2.5225358233229578E-3</c:v>
                </c:pt>
                <c:pt idx="34">
                  <c:v>-5.7380910665937451E-3</c:v>
                </c:pt>
                <c:pt idx="35">
                  <c:v>-1.3311091554235599E-3</c:v>
                </c:pt>
                <c:pt idx="36">
                  <c:v>3.5100906841785406E-3</c:v>
                </c:pt>
                <c:pt idx="37">
                  <c:v>6.4843327401418599E-3</c:v>
                </c:pt>
                <c:pt idx="38">
                  <c:v>1.783151330774238E-3</c:v>
                </c:pt>
                <c:pt idx="39">
                  <c:v>4.3001106478706384E-4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623-43A3-B1F8-B6BABF041C6C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Spreadsheet9.1!$AY$53:$AY$93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9.7886016291471312E-3</c:v>
                </c:pt>
                <c:pt idx="2">
                  <c:v>2.5181293261652027E-2</c:v>
                </c:pt>
                <c:pt idx="3">
                  <c:v>1.5571440651380164E-2</c:v>
                </c:pt>
                <c:pt idx="4">
                  <c:v>4.8513591797683164E-2</c:v>
                </c:pt>
                <c:pt idx="5">
                  <c:v>2.6158796232380155E-2</c:v>
                </c:pt>
                <c:pt idx="6">
                  <c:v>6.6478119269891889E-2</c:v>
                </c:pt>
                <c:pt idx="7">
                  <c:v>7.6187271921781319E-2</c:v>
                </c:pt>
                <c:pt idx="8">
                  <c:v>5.3769273927079031E-2</c:v>
                </c:pt>
                <c:pt idx="9">
                  <c:v>2.9930062373767496E-3</c:v>
                </c:pt>
                <c:pt idx="10">
                  <c:v>3.4143541904024688E-2</c:v>
                </c:pt>
                <c:pt idx="11">
                  <c:v>4.4519252630575323E-2</c:v>
                </c:pt>
                <c:pt idx="12">
                  <c:v>3.8555637901499074E-2</c:v>
                </c:pt>
                <c:pt idx="13">
                  <c:v>2.7602296918381009E-2</c:v>
                </c:pt>
                <c:pt idx="14">
                  <c:v>5.6760744366499083E-2</c:v>
                </c:pt>
                <c:pt idx="15">
                  <c:v>5.6174676996255057E-2</c:v>
                </c:pt>
                <c:pt idx="16">
                  <c:v>6.9860563922889252E-2</c:v>
                </c:pt>
                <c:pt idx="17">
                  <c:v>9.2140773084430139E-2</c:v>
                </c:pt>
                <c:pt idx="18">
                  <c:v>0.11157948865129835</c:v>
                </c:pt>
                <c:pt idx="19">
                  <c:v>0.10887957118232788</c:v>
                </c:pt>
                <c:pt idx="20">
                  <c:v>8.200943151518536E-2</c:v>
                </c:pt>
                <c:pt idx="21">
                  <c:v>6.3113308326614159E-2</c:v>
                </c:pt>
                <c:pt idx="22">
                  <c:v>7.0050244487667168E-2</c:v>
                </c:pt>
                <c:pt idx="23">
                  <c:v>6.300826973590215E-2</c:v>
                </c:pt>
                <c:pt idx="24">
                  <c:v>6.041790393112037E-2</c:v>
                </c:pt>
                <c:pt idx="25">
                  <c:v>4.0859717744435059E-2</c:v>
                </c:pt>
                <c:pt idx="26">
                  <c:v>5.9968016439595151E-2</c:v>
                </c:pt>
                <c:pt idx="27">
                  <c:v>2.8178949709692008E-2</c:v>
                </c:pt>
                <c:pt idx="28">
                  <c:v>3.0266688527676888E-2</c:v>
                </c:pt>
                <c:pt idx="29">
                  <c:v>2.5464840188386101E-2</c:v>
                </c:pt>
                <c:pt idx="30">
                  <c:v>2.1843766808798515E-2</c:v>
                </c:pt>
                <c:pt idx="31">
                  <c:v>3.7775386590087168E-2</c:v>
                </c:pt>
                <c:pt idx="32">
                  <c:v>3.7119253047753709E-2</c:v>
                </c:pt>
                <c:pt idx="33">
                  <c:v>2.0206195429819038E-2</c:v>
                </c:pt>
                <c:pt idx="34">
                  <c:v>2.6088145552568026E-2</c:v>
                </c:pt>
                <c:pt idx="35">
                  <c:v>3.1654126109265816E-2</c:v>
                </c:pt>
                <c:pt idx="36">
                  <c:v>2.9215112025992522E-2</c:v>
                </c:pt>
                <c:pt idx="37">
                  <c:v>2.0970645094665251E-2</c:v>
                </c:pt>
                <c:pt idx="38">
                  <c:v>1.1826776077739128E-2</c:v>
                </c:pt>
                <c:pt idx="39">
                  <c:v>5.0543651123351845E-3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623-43A3-B1F8-B6BABF041C6C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623-43A3-B1F8-B6BABF041C6C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623-43A3-B1F8-B6BABF041C6C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623-43A3-B1F8-B6BABF041C6C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623-43A3-B1F8-B6BABF041C6C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623-43A3-B1F8-B6BABF041C6C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623-43A3-B1F8-B6BABF041C6C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623-43A3-B1F8-B6BABF041C6C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623-43A3-B1F8-B6BABF041C6C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623-43A3-B1F8-B6BABF041C6C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623-43A3-B1F8-B6BABF041C6C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623-43A3-B1F8-B6BABF041C6C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623-43A3-B1F8-B6BABF041C6C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623-43A3-B1F8-B6BABF041C6C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623-43A3-B1F8-B6BABF041C6C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623-43A3-B1F8-B6BABF041C6C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623-43A3-B1F8-B6BABF041C6C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623-43A3-B1F8-B6BABF041C6C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623-43A3-B1F8-B6BABF041C6C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623-43A3-B1F8-B6BABF041C6C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623-43A3-B1F8-B6BABF041C6C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623-43A3-B1F8-B6BABF041C6C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623-43A3-B1F8-B6BABF041C6C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623-43A3-B1F8-B6BABF041C6C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623-43A3-B1F8-B6BABF041C6C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623-43A3-B1F8-B6BABF041C6C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623-43A3-B1F8-B6BABF041C6C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623-43A3-B1F8-B6BABF041C6C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623-43A3-B1F8-B6BABF041C6C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623-43A3-B1F8-B6BABF041C6C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623-43A3-B1F8-B6BABF041C6C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623-43A3-B1F8-B6BABF041C6C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623-43A3-B1F8-B6BABF041C6C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623-43A3-B1F8-B6BABF041C6C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623-43A3-B1F8-B6BABF041C6C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623-43A3-B1F8-B6BABF041C6C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623-43A3-B1F8-B6BABF041C6C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623-43A3-B1F8-B6BABF041C6C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623-43A3-B1F8-B6BABF041C6C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623-43A3-B1F8-B6BABF041C6C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623-43A3-B1F8-B6BABF041C6C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623-43A3-B1F8-B6BABF041C6C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623-43A3-B1F8-B6BABF041C6C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623-43A3-B1F8-B6BABF041C6C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623-43A3-B1F8-B6BABF041C6C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623-43A3-B1F8-B6BABF041C6C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623-43A3-B1F8-B6BABF041C6C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623-43A3-B1F8-B6BABF041C6C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623-43A3-B1F8-B6BABF041C6C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623-43A3-B1F8-B6BABF041C6C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623-43A3-B1F8-B6BABF041C6C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623-43A3-B1F8-B6BABF041C6C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623-43A3-B1F8-B6BABF041C6C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623-43A3-B1F8-B6BABF041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979624"/>
        <c:axId val="588980016"/>
      </c:scatterChart>
      <c:valAx>
        <c:axId val="58897962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00" b="1">
                    <a:latin typeface="+mn-lt"/>
                  </a:defRPr>
                </a:pPr>
                <a:r>
                  <a:rPr lang="en-US" sz="1000" b="1">
                    <a:latin typeface="+mn-lt"/>
                  </a:rPr>
                  <a:t>Time (years)</a:t>
                </a:r>
              </a:p>
            </c:rich>
          </c:tx>
          <c:layout>
            <c:manualLayout>
              <c:xMode val="edge"/>
              <c:yMode val="edge"/>
              <c:x val="0.44574366700745549"/>
              <c:y val="0.87456624101762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8980016"/>
        <c:crosses val="autoZero"/>
        <c:crossBetween val="midCat"/>
      </c:valAx>
      <c:valAx>
        <c:axId val="5889800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 b="1">
                    <a:latin typeface="+mn-lt"/>
                  </a:defRPr>
                </a:pPr>
                <a:r>
                  <a:rPr lang="en-US" sz="1000" b="1">
                    <a:latin typeface="+mn-lt"/>
                  </a:rPr>
                  <a:t>Future value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58897962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Spreadsheet9.1!$G$9</c:f>
              <c:strCache>
                <c:ptCount val="1"/>
                <c:pt idx="0">
                  <c:v>Interest rate</c:v>
                </c:pt>
              </c:strCache>
            </c:strRef>
          </c:tx>
          <c:spPr>
            <a:ln w="19050"/>
          </c:spPr>
          <c:xVal>
            <c:numRef>
              <c:f>Spreadsheet9.1!$F$10:$F$50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Spreadsheet9.1!$G$10:$G$50</c:f>
              <c:numCache>
                <c:formatCode>0.0000000000000000%</c:formatCode>
                <c:ptCount val="41"/>
                <c:pt idx="0" formatCode="0.00%">
                  <c:v>0.05</c:v>
                </c:pt>
                <c:pt idx="1">
                  <c:v>5.076903461729191E-2</c:v>
                </c:pt>
                <c:pt idx="2" formatCode="0.00%">
                  <c:v>5.6686293812785692E-2</c:v>
                </c:pt>
                <c:pt idx="3" formatCode="0.00%">
                  <c:v>5.2566874291665996E-2</c:v>
                </c:pt>
                <c:pt idx="4" formatCode="0.00%">
                  <c:v>5.688448172310407E-2</c:v>
                </c:pt>
                <c:pt idx="5" formatCode="0.00%">
                  <c:v>5.7177835925633955E-2</c:v>
                </c:pt>
                <c:pt idx="6" formatCode="0.00%">
                  <c:v>6.4519498228829644E-2</c:v>
                </c:pt>
                <c:pt idx="7" formatCode="0.00%">
                  <c:v>6.3618402356853163E-2</c:v>
                </c:pt>
                <c:pt idx="8" formatCode="0.00%">
                  <c:v>6.5963780054478061E-2</c:v>
                </c:pt>
                <c:pt idx="9" formatCode="0.00%">
                  <c:v>5.7213506368911461E-2</c:v>
                </c:pt>
                <c:pt idx="10" formatCode="0.00%">
                  <c:v>5.4369933223934373E-2</c:v>
                </c:pt>
                <c:pt idx="11" formatCode="0.00%">
                  <c:v>5.9233953628773123E-2</c:v>
                </c:pt>
                <c:pt idx="12" formatCode="0.00%">
                  <c:v>5.666004365461165E-2</c:v>
                </c:pt>
                <c:pt idx="13" formatCode="0.00%">
                  <c:v>5.5767155789535991E-2</c:v>
                </c:pt>
                <c:pt idx="14" formatCode="0.00%">
                  <c:v>5.3896471772662199E-2</c:v>
                </c:pt>
                <c:pt idx="15" formatCode="0.00%">
                  <c:v>5.4515301343504526E-2</c:v>
                </c:pt>
                <c:pt idx="16" formatCode="0.00%">
                  <c:v>4.1481422887367184E-2</c:v>
                </c:pt>
                <c:pt idx="17" formatCode="0.00%">
                  <c:v>4.1106661063484963E-2</c:v>
                </c:pt>
                <c:pt idx="18" formatCode="0.00%">
                  <c:v>3.714128350040044E-2</c:v>
                </c:pt>
                <c:pt idx="19" formatCode="0.00%">
                  <c:v>4.2852905477184504E-2</c:v>
                </c:pt>
                <c:pt idx="20" formatCode="0.00%">
                  <c:v>4.1081912057341893E-2</c:v>
                </c:pt>
                <c:pt idx="21" formatCode="0.00%">
                  <c:v>4.2354229868996389E-2</c:v>
                </c:pt>
                <c:pt idx="22" formatCode="0.00%">
                  <c:v>4.6617361739595464E-2</c:v>
                </c:pt>
                <c:pt idx="23" formatCode="0.00%">
                  <c:v>4.8350936586975812E-2</c:v>
                </c:pt>
                <c:pt idx="24" formatCode="0.00%">
                  <c:v>4.6987353534941878E-2</c:v>
                </c:pt>
                <c:pt idx="25" formatCode="0.00%">
                  <c:v>4.3596631562255135E-2</c:v>
                </c:pt>
                <c:pt idx="26" formatCode="0.00%">
                  <c:v>4.4042519894924102E-2</c:v>
                </c:pt>
                <c:pt idx="27" formatCode="0.00%">
                  <c:v>3.700712031201274E-2</c:v>
                </c:pt>
                <c:pt idx="28" formatCode="0.00%">
                  <c:v>4.1899728321654513E-2</c:v>
                </c:pt>
                <c:pt idx="29" formatCode="0.00%">
                  <c:v>4.2773059920407086E-2</c:v>
                </c:pt>
                <c:pt idx="30" formatCode="0.00%">
                  <c:v>3.5746105136006491E-2</c:v>
                </c:pt>
                <c:pt idx="31" formatCode="0.00%">
                  <c:v>4.1700907218386249E-2</c:v>
                </c:pt>
                <c:pt idx="32" formatCode="0.00%">
                  <c:v>3.8828951199114684E-2</c:v>
                </c:pt>
                <c:pt idx="33" formatCode="0.00%">
                  <c:v>4.4227414753537336E-2</c:v>
                </c:pt>
                <c:pt idx="34" formatCode="0.00%">
                  <c:v>4.3893070367412357E-2</c:v>
                </c:pt>
                <c:pt idx="35" formatCode="0.00%">
                  <c:v>4.4734103007366473E-2</c:v>
                </c:pt>
                <c:pt idx="36" formatCode="0.00%">
                  <c:v>5.5648956301789877E-2</c:v>
                </c:pt>
                <c:pt idx="37" formatCode="0.00%">
                  <c:v>5.7451232587114341E-2</c:v>
                </c:pt>
                <c:pt idx="38" formatCode="0.00%">
                  <c:v>6.5532350039292309E-2</c:v>
                </c:pt>
                <c:pt idx="39" formatCode="0.00%">
                  <c:v>6.5785595670255617E-2</c:v>
                </c:pt>
                <c:pt idx="40" formatCode="0.00%">
                  <c:v>7.3234842998390851E-2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4-47F6-BC15-54C0A0AE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981192"/>
        <c:axId val="588981584"/>
      </c:scatterChart>
      <c:valAx>
        <c:axId val="5889811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8981584"/>
        <c:crosses val="autoZero"/>
        <c:crossBetween val="midCat"/>
      </c:valAx>
      <c:valAx>
        <c:axId val="5889815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Spot interest rate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88981192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strRef>
              <c:f>Spreadsheet9.1!$J$9</c:f>
              <c:strCache>
                <c:ptCount val="1"/>
                <c:pt idx="0">
                  <c:v>Swap MtM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Spreadsheet9.1!$F$10:$F$50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Spreadsheet9.1!$J$10:$J$50</c:f>
              <c:numCache>
                <c:formatCode>0.0000%</c:formatCode>
                <c:ptCount val="41"/>
                <c:pt idx="0">
                  <c:v>3.5155339676342656E-3</c:v>
                </c:pt>
                <c:pt idx="1">
                  <c:v>-7.1637820522796325E-4</c:v>
                </c:pt>
                <c:pt idx="2">
                  <c:v>-3.0578548025080032E-2</c:v>
                </c:pt>
                <c:pt idx="3">
                  <c:v>-1.0120271637138301E-2</c:v>
                </c:pt>
                <c:pt idx="4">
                  <c:v>-3.1181478348967229E-2</c:v>
                </c:pt>
                <c:pt idx="5">
                  <c:v>-3.2350667569179425E-2</c:v>
                </c:pt>
                <c:pt idx="6">
                  <c:v>-6.569934581490805E-2</c:v>
                </c:pt>
                <c:pt idx="7">
                  <c:v>-6.0936496644790339E-2</c:v>
                </c:pt>
                <c:pt idx="8">
                  <c:v>-7.0404423177449382E-2</c:v>
                </c:pt>
                <c:pt idx="9">
                  <c:v>-3.1299454509018165E-2</c:v>
                </c:pt>
                <c:pt idx="10">
                  <c:v>-1.8377168155772838E-2</c:v>
                </c:pt>
                <c:pt idx="11">
                  <c:v>-3.9174408912900305E-2</c:v>
                </c:pt>
                <c:pt idx="12">
                  <c:v>-2.774753414162251E-2</c:v>
                </c:pt>
                <c:pt idx="13">
                  <c:v>-2.3616380243920598E-2</c:v>
                </c:pt>
                <c:pt idx="14">
                  <c:v>-1.5586542017893612E-2</c:v>
                </c:pt>
                <c:pt idx="15">
                  <c:v>-1.7842344310521063E-2</c:v>
                </c:pt>
                <c:pt idx="16">
                  <c:v>3.4868515259369015E-2</c:v>
                </c:pt>
                <c:pt idx="17">
                  <c:v>3.5320291873078891E-2</c:v>
                </c:pt>
                <c:pt idx="18">
                  <c:v>4.9824586068916821E-2</c:v>
                </c:pt>
                <c:pt idx="19">
                  <c:v>2.6455398453737289E-2</c:v>
                </c:pt>
                <c:pt idx="20">
                  <c:v>3.1961873918598394E-2</c:v>
                </c:pt>
                <c:pt idx="21">
                  <c:v>2.6270020475214234E-2</c:v>
                </c:pt>
                <c:pt idx="22">
                  <c:v>1.0888890652384076E-2</c:v>
                </c:pt>
                <c:pt idx="23">
                  <c:v>4.8474464224368408E-3</c:v>
                </c:pt>
                <c:pt idx="24">
                  <c:v>8.7269542221427576E-3</c:v>
                </c:pt>
                <c:pt idx="25">
                  <c:v>1.8181851996534298E-2</c:v>
                </c:pt>
                <c:pt idx="26">
                  <c:v>1.5951556738207001E-2</c:v>
                </c:pt>
                <c:pt idx="27">
                  <c:v>3.3690359114688345E-2</c:v>
                </c:pt>
                <c:pt idx="28">
                  <c:v>1.9347514750305467E-2</c:v>
                </c:pt>
                <c:pt idx="29">
                  <c:v>1.5979779105471131E-2</c:v>
                </c:pt>
                <c:pt idx="30">
                  <c:v>2.9826846898398054E-2</c:v>
                </c:pt>
                <c:pt idx="31">
                  <c:v>1.5560419805470724E-2</c:v>
                </c:pt>
                <c:pt idx="32">
                  <c:v>1.91266391638822E-2</c:v>
                </c:pt>
                <c:pt idx="33">
                  <c:v>8.530676487908756E-3</c:v>
                </c:pt>
                <c:pt idx="34">
                  <c:v>7.8843294700209759E-3</c:v>
                </c:pt>
                <c:pt idx="35">
                  <c:v>5.7074633485375559E-3</c:v>
                </c:pt>
                <c:pt idx="36">
                  <c:v>-5.5525866234769072E-3</c:v>
                </c:pt>
                <c:pt idx="37">
                  <c:v>-5.5265445817808609E-3</c:v>
                </c:pt>
                <c:pt idx="38">
                  <c:v>-7.6515463130437215E-3</c:v>
                </c:pt>
                <c:pt idx="39">
                  <c:v>-3.9668131966594175E-3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E-45E8-A2B4-9F15848C4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982368"/>
        <c:axId val="588982760"/>
      </c:scatterChart>
      <c:valAx>
        <c:axId val="58898236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8982760"/>
        <c:crosses val="autoZero"/>
        <c:crossBetween val="midCat"/>
      </c:valAx>
      <c:valAx>
        <c:axId val="588982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Future value of swap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8898236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Spreadsheet9.1!$C$52</c:f>
              <c:strCache>
                <c:ptCount val="1"/>
                <c:pt idx="0">
                  <c:v>EE</c:v>
                </c:pt>
              </c:strCache>
            </c:strRef>
          </c:tx>
          <c:spPr>
            <a:ln w="19050"/>
          </c:spPr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Spreadsheet9.1!$C$53:$C$93</c:f>
              <c:numCache>
                <c:formatCode>0.00%</c:formatCode>
                <c:ptCount val="41"/>
                <c:pt idx="0">
                  <c:v>3.5155339676342656E-3</c:v>
                </c:pt>
                <c:pt idx="1">
                  <c:v>1.3452497916083909E-2</c:v>
                </c:pt>
                <c:pt idx="2">
                  <c:v>1.772364664278564E-2</c:v>
                </c:pt>
                <c:pt idx="3">
                  <c:v>1.9411562237531436E-2</c:v>
                </c:pt>
                <c:pt idx="4">
                  <c:v>2.2547571873639986E-2</c:v>
                </c:pt>
                <c:pt idx="5">
                  <c:v>2.4375981507375109E-2</c:v>
                </c:pt>
                <c:pt idx="6">
                  <c:v>2.5925930145589811E-2</c:v>
                </c:pt>
                <c:pt idx="7">
                  <c:v>2.7030783256382061E-2</c:v>
                </c:pt>
                <c:pt idx="8">
                  <c:v>2.7542503669196174E-2</c:v>
                </c:pt>
                <c:pt idx="9">
                  <c:v>2.8530170972055399E-2</c:v>
                </c:pt>
                <c:pt idx="10">
                  <c:v>2.8973310026895054E-2</c:v>
                </c:pt>
                <c:pt idx="11">
                  <c:v>2.8265436374863576E-2</c:v>
                </c:pt>
                <c:pt idx="12">
                  <c:v>2.7099854012730244E-2</c:v>
                </c:pt>
                <c:pt idx="13">
                  <c:v>2.7238433323826142E-2</c:v>
                </c:pt>
                <c:pt idx="14">
                  <c:v>2.8343799643339426E-2</c:v>
                </c:pt>
                <c:pt idx="15">
                  <c:v>2.7679234425527208E-2</c:v>
                </c:pt>
                <c:pt idx="16">
                  <c:v>2.6792758854591283E-2</c:v>
                </c:pt>
                <c:pt idx="17">
                  <c:v>2.6652690717872966E-2</c:v>
                </c:pt>
                <c:pt idx="18">
                  <c:v>2.6464782100848117E-2</c:v>
                </c:pt>
                <c:pt idx="19">
                  <c:v>2.6612492208737779E-2</c:v>
                </c:pt>
                <c:pt idx="20">
                  <c:v>2.5824473966343447E-2</c:v>
                </c:pt>
                <c:pt idx="21">
                  <c:v>2.5153322853956578E-2</c:v>
                </c:pt>
                <c:pt idx="22">
                  <c:v>2.4777107394212444E-2</c:v>
                </c:pt>
                <c:pt idx="23">
                  <c:v>2.3823189812650379E-2</c:v>
                </c:pt>
                <c:pt idx="24">
                  <c:v>2.2642757902275223E-2</c:v>
                </c:pt>
                <c:pt idx="25">
                  <c:v>2.0760563489722744E-2</c:v>
                </c:pt>
                <c:pt idx="26">
                  <c:v>1.9629290599774314E-2</c:v>
                </c:pt>
                <c:pt idx="27">
                  <c:v>1.7154588816207531E-2</c:v>
                </c:pt>
                <c:pt idx="28">
                  <c:v>1.7093627513866852E-2</c:v>
                </c:pt>
                <c:pt idx="29">
                  <c:v>1.6727722809623116E-2</c:v>
                </c:pt>
                <c:pt idx="30">
                  <c:v>1.5562282615920279E-2</c:v>
                </c:pt>
                <c:pt idx="31">
                  <c:v>1.4538732311314593E-2</c:v>
                </c:pt>
                <c:pt idx="32">
                  <c:v>1.3458414649363287E-2</c:v>
                </c:pt>
                <c:pt idx="33">
                  <c:v>1.206411511437327E-2</c:v>
                </c:pt>
                <c:pt idx="34">
                  <c:v>1.0457345424455582E-2</c:v>
                </c:pt>
                <c:pt idx="35">
                  <c:v>8.8145678152901068E-3</c:v>
                </c:pt>
                <c:pt idx="36">
                  <c:v>7.1029434784541119E-3</c:v>
                </c:pt>
                <c:pt idx="37">
                  <c:v>5.7825959054703963E-3</c:v>
                </c:pt>
                <c:pt idx="38">
                  <c:v>3.812250441737794E-3</c:v>
                </c:pt>
                <c:pt idx="39">
                  <c:v>2.0094064783563329E-3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9-4DAF-BD5E-15545BA0A6CC}"/>
            </c:ext>
          </c:extLst>
        </c:ser>
        <c:ser>
          <c:idx val="1"/>
          <c:order val="1"/>
          <c:tx>
            <c:strRef>
              <c:f>Spreadsheet9.1!$D$52</c:f>
              <c:strCache>
                <c:ptCount val="1"/>
                <c:pt idx="0">
                  <c:v>PFE (90%)</c:v>
                </c:pt>
              </c:strCache>
            </c:strRef>
          </c:tx>
          <c:xVal>
            <c:numRef>
              <c:f>Spreadsheet9.1!$B$53:$B$93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Spreadsheet9.1!$D$53:$D$93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3.8806338057903456E-2</c:v>
                </c:pt>
                <c:pt idx="2">
                  <c:v>5.2239394594206512E-2</c:v>
                </c:pt>
                <c:pt idx="3">
                  <c:v>6.1652473341235303E-2</c:v>
                </c:pt>
                <c:pt idx="4">
                  <c:v>6.9905196351386978E-2</c:v>
                </c:pt>
                <c:pt idx="5">
                  <c:v>6.9891625191120077E-2</c:v>
                </c:pt>
                <c:pt idx="6">
                  <c:v>8.0361944473966995E-2</c:v>
                </c:pt>
                <c:pt idx="7">
                  <c:v>8.0412540099045027E-2</c:v>
                </c:pt>
                <c:pt idx="8">
                  <c:v>7.5652120716848681E-2</c:v>
                </c:pt>
                <c:pt idx="9">
                  <c:v>8.6286666118993494E-2</c:v>
                </c:pt>
                <c:pt idx="10">
                  <c:v>9.3717302970515837E-2</c:v>
                </c:pt>
                <c:pt idx="11">
                  <c:v>9.204081282812826E-2</c:v>
                </c:pt>
                <c:pt idx="12">
                  <c:v>8.5079637556370102E-2</c:v>
                </c:pt>
                <c:pt idx="13">
                  <c:v>9.3884080179426177E-2</c:v>
                </c:pt>
                <c:pt idx="14">
                  <c:v>9.2521105945551074E-2</c:v>
                </c:pt>
                <c:pt idx="15">
                  <c:v>9.1893310216354551E-2</c:v>
                </c:pt>
                <c:pt idx="16">
                  <c:v>9.0430016093088872E-2</c:v>
                </c:pt>
                <c:pt idx="17">
                  <c:v>8.4678983932373053E-2</c:v>
                </c:pt>
                <c:pt idx="18">
                  <c:v>8.0500943130563052E-2</c:v>
                </c:pt>
                <c:pt idx="19">
                  <c:v>9.0032936621397663E-2</c:v>
                </c:pt>
                <c:pt idx="20">
                  <c:v>8.6827820897561303E-2</c:v>
                </c:pt>
                <c:pt idx="21">
                  <c:v>7.9109759370088573E-2</c:v>
                </c:pt>
                <c:pt idx="22">
                  <c:v>8.0481759055893748E-2</c:v>
                </c:pt>
                <c:pt idx="23">
                  <c:v>7.5643532788043838E-2</c:v>
                </c:pt>
                <c:pt idx="24">
                  <c:v>6.3902375615105367E-2</c:v>
                </c:pt>
                <c:pt idx="25">
                  <c:v>6.3658662354435402E-2</c:v>
                </c:pt>
                <c:pt idx="26">
                  <c:v>5.9968016439595151E-2</c:v>
                </c:pt>
                <c:pt idx="27">
                  <c:v>5.7894131382098951E-2</c:v>
                </c:pt>
                <c:pt idx="28">
                  <c:v>5.1460202819857831E-2</c:v>
                </c:pt>
                <c:pt idx="29">
                  <c:v>4.5527526609358299E-2</c:v>
                </c:pt>
                <c:pt idx="30">
                  <c:v>4.9058215453212969E-2</c:v>
                </c:pt>
                <c:pt idx="31">
                  <c:v>4.5835958027788615E-2</c:v>
                </c:pt>
                <c:pt idx="32">
                  <c:v>4.0646755162667345E-2</c:v>
                </c:pt>
                <c:pt idx="33">
                  <c:v>3.960429325882231E-2</c:v>
                </c:pt>
                <c:pt idx="34">
                  <c:v>3.2969352481497793E-2</c:v>
                </c:pt>
                <c:pt idx="35">
                  <c:v>2.6552015210043189E-2</c:v>
                </c:pt>
                <c:pt idx="36">
                  <c:v>2.2997612795466922E-2</c:v>
                </c:pt>
                <c:pt idx="37">
                  <c:v>1.8625246197300119E-2</c:v>
                </c:pt>
                <c:pt idx="38">
                  <c:v>1.1826776077739128E-2</c:v>
                </c:pt>
                <c:pt idx="39">
                  <c:v>6.3675034705670142E-3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9-4DAF-BD5E-15545BA0A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980408"/>
        <c:axId val="588983544"/>
      </c:scatterChart>
      <c:valAx>
        <c:axId val="58898040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8983544"/>
        <c:crosses val="autoZero"/>
        <c:crossBetween val="midCat"/>
      </c:valAx>
      <c:valAx>
        <c:axId val="5889835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Exposure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889804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38413406377894033"/>
          <c:y val="3.9800995024875621E-2"/>
          <c:w val="0.3516600022312647"/>
          <c:h val="8.9964743213068507E-2"/>
        </c:manualLayout>
      </c:layout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171450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679132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Interest-Rate Monte Carlo Simulation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Simulation of an interest-rate swap exposure using a simple Vasicek model. </a:t>
          </a:r>
        </a:p>
      </xdr:txBody>
    </xdr:sp>
    <xdr:clientData/>
  </xdr:twoCellAnchor>
  <xdr:twoCellAnchor>
    <xdr:from>
      <xdr:col>7</xdr:col>
      <xdr:colOff>228600</xdr:colOff>
      <xdr:row>2</xdr:row>
      <xdr:rowOff>114300</xdr:rowOff>
    </xdr:from>
    <xdr:to>
      <xdr:col>11</xdr:col>
      <xdr:colOff>0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6848475" y="438150"/>
          <a:ext cx="246697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171450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4438650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Interest-Rate Monte Carlo Simulation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Simulation of an interest-rate swap exposure using a simple Vasicek model. </a:t>
          </a:r>
        </a:p>
      </xdr:txBody>
    </xdr:sp>
    <xdr:clientData/>
  </xdr:twoCellAnchor>
  <xdr:twoCellAnchor>
    <xdr:from>
      <xdr:col>7</xdr:col>
      <xdr:colOff>228600</xdr:colOff>
      <xdr:row>2</xdr:row>
      <xdr:rowOff>114300</xdr:rowOff>
    </xdr:from>
    <xdr:to>
      <xdr:col>11</xdr:col>
      <xdr:colOff>0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4495800" y="438150"/>
          <a:ext cx="220980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15</xdr:col>
      <xdr:colOff>1247775</xdr:colOff>
      <xdr:row>52</xdr:row>
      <xdr:rowOff>38100</xdr:rowOff>
    </xdr:from>
    <xdr:to>
      <xdr:col>18</xdr:col>
      <xdr:colOff>1152525</xdr:colOff>
      <xdr:row>67</xdr:row>
      <xdr:rowOff>152400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49</xdr:row>
          <xdr:rowOff>9525</xdr:rowOff>
        </xdr:from>
        <xdr:to>
          <xdr:col>2</xdr:col>
          <xdr:colOff>381000</xdr:colOff>
          <xdr:row>50</xdr:row>
          <xdr:rowOff>152400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2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Simulations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28575</xdr:colOff>
      <xdr:row>51</xdr:row>
      <xdr:rowOff>133350</xdr:rowOff>
    </xdr:from>
    <xdr:to>
      <xdr:col>15</xdr:col>
      <xdr:colOff>990600</xdr:colOff>
      <xdr:row>67</xdr:row>
      <xdr:rowOff>95250</xdr:rowOff>
    </xdr:to>
    <xdr:graphicFrame macro="">
      <xdr:nvGraphicFramePr>
        <xdr:cNvPr id="6" name="Chart 9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1419225</xdr:colOff>
      <xdr:row>52</xdr:row>
      <xdr:rowOff>104775</xdr:rowOff>
    </xdr:from>
    <xdr:to>
      <xdr:col>11</xdr:col>
      <xdr:colOff>1152525</xdr:colOff>
      <xdr:row>68</xdr:row>
      <xdr:rowOff>66675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381000</xdr:colOff>
      <xdr:row>52</xdr:row>
      <xdr:rowOff>66675</xdr:rowOff>
    </xdr:from>
    <xdr:to>
      <xdr:col>6</xdr:col>
      <xdr:colOff>133350</xdr:colOff>
      <xdr:row>68</xdr:row>
      <xdr:rowOff>28575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LFSCounterpartyRisk/LFS_CollateralandCntrptyRiskNewBoo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QTinRM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/Desktop/GregoryBook/Chapter9%20(LARGE%20FILE)%20OLD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con422PresentValueProblem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WCEandEPE"/>
      <sheetName val="WCEandEPEOverTime"/>
      <sheetName val="ExposureSimulation"/>
      <sheetName val="Netting"/>
      <sheetName val="IncrementalExposure"/>
      <sheetName val="EPEAllocation"/>
      <sheetName val="CollateralCalculation"/>
      <sheetName val="HaircutAnalysis"/>
      <sheetName val="CollateralandCorrelation"/>
      <sheetName val="CollateralExposureSimulation"/>
      <sheetName val="Liquidation"/>
      <sheetName val="LiquidationTimescale"/>
      <sheetName val="HedgingCVA"/>
      <sheetName val="ImpliedDefProb"/>
      <sheetName val="Exposure and Netting"/>
      <sheetName val="CVA"/>
      <sheetName val="SimpleWrongWay"/>
      <sheetName val="CDSCntrptyRisk"/>
      <sheetName val="CDSCntrptyRisk (2)"/>
    </sheetNames>
    <sheetDataSet>
      <sheetData sheetId="0" refreshError="1"/>
      <sheetData sheetId="1">
        <row r="11">
          <cell r="C11">
            <v>0.1</v>
          </cell>
        </row>
      </sheetData>
      <sheetData sheetId="2" refreshError="1"/>
      <sheetData sheetId="3">
        <row r="146">
          <cell r="F146">
            <v>5.6631545580165853E-4</v>
          </cell>
        </row>
      </sheetData>
      <sheetData sheetId="4" refreshError="1"/>
      <sheetData sheetId="5" refreshError="1"/>
      <sheetData sheetId="6" refreshError="1"/>
      <sheetData sheetId="7">
        <row r="15">
          <cell r="D15">
            <v>-0.65</v>
          </cell>
        </row>
        <row r="17">
          <cell r="D17">
            <v>0.05</v>
          </cell>
        </row>
        <row r="19">
          <cell r="C19">
            <v>12.2</v>
          </cell>
          <cell r="D19">
            <v>-12.2</v>
          </cell>
        </row>
        <row r="20">
          <cell r="D20">
            <v>0</v>
          </cell>
        </row>
        <row r="21">
          <cell r="C21" t="str">
            <v>YES</v>
          </cell>
          <cell r="D21" t="str">
            <v>NO</v>
          </cell>
        </row>
      </sheetData>
      <sheetData sheetId="8" refreshError="1"/>
      <sheetData sheetId="9">
        <row r="11">
          <cell r="C11">
            <v>0.5</v>
          </cell>
        </row>
        <row r="12">
          <cell r="C12">
            <v>0.05</v>
          </cell>
        </row>
        <row r="13">
          <cell r="C13">
            <v>0.05</v>
          </cell>
        </row>
        <row r="14">
          <cell r="C14">
            <v>0.05</v>
          </cell>
        </row>
        <row r="15">
          <cell r="C15">
            <v>0.05</v>
          </cell>
        </row>
      </sheetData>
      <sheetData sheetId="10">
        <row r="9">
          <cell r="C9">
            <v>1.1399999999999999</v>
          </cell>
        </row>
        <row r="12">
          <cell r="K12">
            <v>-7.6580927587681369E-4</v>
          </cell>
        </row>
        <row r="17">
          <cell r="C17">
            <v>0</v>
          </cell>
        </row>
        <row r="21">
          <cell r="E21">
            <v>9</v>
          </cell>
        </row>
        <row r="138">
          <cell r="K138">
            <v>0</v>
          </cell>
        </row>
        <row r="264">
          <cell r="K264">
            <v>-7.6580927587681369E-4</v>
          </cell>
        </row>
      </sheetData>
      <sheetData sheetId="11">
        <row r="12">
          <cell r="D12">
            <v>100</v>
          </cell>
        </row>
        <row r="13">
          <cell r="D13">
            <v>1000000</v>
          </cell>
        </row>
        <row r="14">
          <cell r="D14">
            <v>100000</v>
          </cell>
        </row>
        <row r="15">
          <cell r="D15">
            <v>2.5298221281347035E-2</v>
          </cell>
        </row>
        <row r="17">
          <cell r="D17">
            <v>1.5250027727343579E-5</v>
          </cell>
        </row>
      </sheetData>
      <sheetData sheetId="12">
        <row r="12">
          <cell r="D12">
            <v>100</v>
          </cell>
        </row>
        <row r="14">
          <cell r="D14">
            <v>1.5250027727343579E-5</v>
          </cell>
        </row>
        <row r="15">
          <cell r="D15">
            <v>1000000</v>
          </cell>
        </row>
        <row r="16">
          <cell r="D16">
            <v>2</v>
          </cell>
        </row>
        <row r="19">
          <cell r="D19">
            <v>7.6250138636717892</v>
          </cell>
        </row>
        <row r="20">
          <cell r="D20">
            <v>7625013.8636717889</v>
          </cell>
        </row>
        <row r="23">
          <cell r="D23">
            <v>0.25</v>
          </cell>
        </row>
        <row r="24">
          <cell r="D24">
            <v>1264911.0640673519</v>
          </cell>
        </row>
        <row r="25">
          <cell r="D25">
            <v>0.01</v>
          </cell>
        </row>
        <row r="26">
          <cell r="D26">
            <v>2942623.1647438207</v>
          </cell>
        </row>
      </sheetData>
      <sheetData sheetId="13">
        <row r="3">
          <cell r="B3">
            <v>-1.0465830851680291E-6</v>
          </cell>
        </row>
        <row r="4">
          <cell r="B4">
            <v>2.306426474863647E-3</v>
          </cell>
        </row>
        <row r="5">
          <cell r="AD5">
            <v>4.1244792338661976E-2</v>
          </cell>
        </row>
        <row r="6">
          <cell r="AD6">
            <v>4.1244792336812455E-2</v>
          </cell>
        </row>
        <row r="7">
          <cell r="B7">
            <v>0.04</v>
          </cell>
          <cell r="AD7">
            <v>4.1244792337798437E-2</v>
          </cell>
        </row>
        <row r="8">
          <cell r="AD8">
            <v>4.1244792337778544E-2</v>
          </cell>
        </row>
        <row r="9">
          <cell r="AD9">
            <v>4.2238341874438617E-2</v>
          </cell>
        </row>
        <row r="13">
          <cell r="B13">
            <v>0.26</v>
          </cell>
        </row>
        <row r="19">
          <cell r="B19">
            <v>500</v>
          </cell>
          <cell r="C19">
            <v>250</v>
          </cell>
        </row>
      </sheetData>
      <sheetData sheetId="14" refreshError="1"/>
      <sheetData sheetId="15"/>
      <sheetData sheetId="16" refreshError="1"/>
      <sheetData sheetId="17">
        <row r="13">
          <cell r="C13">
            <v>0</v>
          </cell>
        </row>
        <row r="14">
          <cell r="C14">
            <v>0.02</v>
          </cell>
        </row>
        <row r="15">
          <cell r="C15">
            <v>1</v>
          </cell>
        </row>
        <row r="18">
          <cell r="C18">
            <v>-2.0578695923363037</v>
          </cell>
        </row>
      </sheetData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</row>
        <row r="11">
          <cell r="C11">
            <v>0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D8">
            <v>100000000</v>
          </cell>
          <cell r="G8">
            <v>10121971</v>
          </cell>
        </row>
        <row r="9">
          <cell r="G9">
            <v>1000</v>
          </cell>
        </row>
        <row r="10">
          <cell r="C10">
            <v>100000</v>
          </cell>
          <cell r="D10">
            <v>100000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0">
          <cell r="J10">
            <v>100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0">
          <cell r="C10">
            <v>0.4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8">
          <cell r="C8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C9">
            <v>0</v>
          </cell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3">
          <cell r="C23">
            <v>8.0293242543474475E-2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1">
          <cell r="C11">
            <v>5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>
        <row r="8">
          <cell r="D8">
            <v>0.6</v>
          </cell>
        </row>
      </sheetData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9.2"/>
      <sheetName val="Spreadsheet9.3"/>
      <sheetName val="Spreadsheet9.4"/>
      <sheetName val="Spreadsheet9.5"/>
      <sheetName val="Spreadsheet9.6"/>
    </sheetNames>
    <sheetDataSet>
      <sheetData sheetId="0">
        <row r="24">
          <cell r="D24">
            <v>1</v>
          </cell>
        </row>
      </sheetData>
      <sheetData sheetId="1" refreshError="1"/>
      <sheetData sheetId="2" refreshError="1"/>
      <sheetData sheetId="3">
        <row r="10">
          <cell r="E10" t="b">
            <v>1</v>
          </cell>
        </row>
      </sheetData>
      <sheetData sheetId="4">
        <row r="16">
          <cell r="H16">
            <v>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  <cell r="J39">
            <v>5</v>
          </cell>
        </row>
      </sheetData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CC147-ECD1-4D09-9069-86FA8968DB32}">
  <sheetPr codeName="Sheet8"/>
  <dimension ref="A1:IT94"/>
  <sheetViews>
    <sheetView showGridLines="0" workbookViewId="0">
      <pane ySplit="7" topLeftCell="A8" activePane="bottomLeft" state="frozen"/>
      <selection pane="bottomLeft" activeCell="G11" sqref="G11"/>
    </sheetView>
  </sheetViews>
  <sheetFormatPr defaultRowHeight="12.75" x14ac:dyDescent="0.2"/>
  <cols>
    <col min="1" max="1" width="9.140625" style="60"/>
    <col min="2" max="2" width="21.140625" style="60" bestFit="1" customWidth="1"/>
    <col min="3" max="3" width="14" style="60" customWidth="1"/>
    <col min="4" max="4" width="11.85546875" style="60" customWidth="1"/>
    <col min="5" max="5" width="11.42578125" style="60" customWidth="1"/>
    <col min="6" max="6" width="9.140625" style="60"/>
    <col min="7" max="7" width="22.5703125" style="60" bestFit="1" customWidth="1"/>
    <col min="8" max="8" width="9.28515625" style="60" customWidth="1"/>
    <col min="9" max="9" width="11.140625" style="60" customWidth="1"/>
    <col min="10" max="10" width="10.85546875" style="60" customWidth="1"/>
    <col min="11" max="11" width="9.140625" style="60"/>
    <col min="12" max="51" width="22" style="60" bestFit="1" customWidth="1"/>
    <col min="52" max="16384" width="9.140625" style="60"/>
  </cols>
  <sheetData>
    <row r="1" spans="2:51" x14ac:dyDescent="0.2"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</row>
    <row r="2" spans="2:51" x14ac:dyDescent="0.2"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</row>
    <row r="3" spans="2:51" x14ac:dyDescent="0.2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2:51" x14ac:dyDescent="0.2">
      <c r="B4" s="59"/>
      <c r="C4" s="59"/>
      <c r="D4" s="59"/>
      <c r="E4" s="59"/>
      <c r="F4" s="59"/>
      <c r="G4" s="59"/>
      <c r="H4" s="59"/>
      <c r="I4" s="59"/>
      <c r="J4" s="59"/>
      <c r="K4" s="59"/>
      <c r="L4" s="61"/>
      <c r="M4" s="59"/>
      <c r="N4" s="59"/>
      <c r="O4" s="59"/>
    </row>
    <row r="5" spans="2:51" x14ac:dyDescent="0.2">
      <c r="B5" s="59"/>
      <c r="C5" s="59"/>
      <c r="D5" s="59"/>
      <c r="E5" s="59"/>
      <c r="F5" s="59"/>
      <c r="G5" s="59"/>
      <c r="H5" s="59"/>
      <c r="I5" s="59"/>
      <c r="J5" s="62"/>
      <c r="K5" s="59"/>
      <c r="L5" s="61"/>
      <c r="M5" s="59"/>
      <c r="N5" s="59"/>
      <c r="O5" s="59"/>
    </row>
    <row r="6" spans="2:51" x14ac:dyDescent="0.2">
      <c r="B6" s="59"/>
      <c r="C6" s="59"/>
      <c r="D6" s="59"/>
      <c r="E6" s="59"/>
      <c r="F6" s="59"/>
      <c r="G6" s="59"/>
      <c r="H6" s="59"/>
      <c r="I6" s="59"/>
      <c r="J6" s="63"/>
      <c r="K6" s="59"/>
      <c r="L6" s="59"/>
      <c r="M6" s="59"/>
      <c r="N6" s="59"/>
      <c r="O6" s="59"/>
    </row>
    <row r="7" spans="2:51" x14ac:dyDescent="0.2"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</row>
    <row r="8" spans="2:51" ht="13.5" thickBot="1" x14ac:dyDescent="0.25">
      <c r="L8" s="64" t="s">
        <v>12</v>
      </c>
    </row>
    <row r="9" spans="2:51" ht="13.5" thickBot="1" x14ac:dyDescent="0.25">
      <c r="B9" s="65" t="s">
        <v>0</v>
      </c>
      <c r="C9" s="66"/>
      <c r="E9" s="67"/>
      <c r="F9" s="68" t="s">
        <v>11</v>
      </c>
      <c r="G9" s="68" t="s">
        <v>7</v>
      </c>
      <c r="H9" s="69" t="s">
        <v>8</v>
      </c>
      <c r="I9" s="70" t="s">
        <v>9</v>
      </c>
      <c r="J9" s="71" t="s">
        <v>10</v>
      </c>
      <c r="L9" s="72">
        <v>0.25</v>
      </c>
      <c r="M9" s="72">
        <v>0.5</v>
      </c>
      <c r="N9" s="72">
        <v>0.75</v>
      </c>
      <c r="O9" s="72">
        <v>1</v>
      </c>
      <c r="P9" s="72">
        <v>1.25</v>
      </c>
      <c r="Q9" s="72">
        <v>1.5</v>
      </c>
      <c r="R9" s="72">
        <v>1.75</v>
      </c>
      <c r="S9" s="72">
        <v>2</v>
      </c>
      <c r="T9" s="72">
        <v>2.25</v>
      </c>
      <c r="U9" s="72">
        <v>2.5</v>
      </c>
      <c r="V9" s="72">
        <v>2.75</v>
      </c>
      <c r="W9" s="72">
        <v>3</v>
      </c>
      <c r="X9" s="72">
        <v>3.25</v>
      </c>
      <c r="Y9" s="72">
        <v>3.5</v>
      </c>
      <c r="Z9" s="72">
        <v>3.75</v>
      </c>
      <c r="AA9" s="72">
        <v>4</v>
      </c>
      <c r="AB9" s="72">
        <v>4.25</v>
      </c>
      <c r="AC9" s="72">
        <v>4.5</v>
      </c>
      <c r="AD9" s="72">
        <v>4.75</v>
      </c>
      <c r="AE9" s="72">
        <v>5</v>
      </c>
      <c r="AF9" s="72">
        <v>5.25</v>
      </c>
      <c r="AG9" s="72">
        <v>5.5</v>
      </c>
      <c r="AH9" s="72">
        <v>5.75</v>
      </c>
      <c r="AI9" s="72">
        <v>6</v>
      </c>
      <c r="AJ9" s="72">
        <v>6.25</v>
      </c>
      <c r="AK9" s="72">
        <v>6.5</v>
      </c>
      <c r="AL9" s="72">
        <v>6.75</v>
      </c>
      <c r="AM9" s="72">
        <v>7</v>
      </c>
      <c r="AN9" s="72">
        <v>7.25</v>
      </c>
      <c r="AO9" s="72">
        <v>7.5</v>
      </c>
      <c r="AP9" s="72">
        <v>7.75</v>
      </c>
      <c r="AQ9" s="72">
        <v>8</v>
      </c>
      <c r="AR9" s="72">
        <v>8.25</v>
      </c>
      <c r="AS9" s="72">
        <v>8.5</v>
      </c>
      <c r="AT9" s="72">
        <v>8.75</v>
      </c>
      <c r="AU9" s="72">
        <v>9</v>
      </c>
      <c r="AV9" s="72">
        <v>9.25</v>
      </c>
      <c r="AW9" s="72">
        <v>9.5</v>
      </c>
      <c r="AX9" s="72">
        <v>9.75</v>
      </c>
      <c r="AY9" s="72">
        <v>10</v>
      </c>
    </row>
    <row r="10" spans="2:51" x14ac:dyDescent="0.2">
      <c r="B10" s="73" t="s">
        <v>2</v>
      </c>
      <c r="C10" s="74">
        <v>0.05</v>
      </c>
      <c r="E10" s="75">
        <v>0</v>
      </c>
      <c r="F10" s="76">
        <v>0</v>
      </c>
      <c r="G10" s="77">
        <f ca="1">IR0</f>
        <v>0.05</v>
      </c>
      <c r="H10" s="78">
        <f t="shared" ref="H10:H49" ca="1" si="0">SwapRate*SUM(OFFSET(L10,0,0,1,40-E10))*0.25</f>
        <v>0.39186576790815386</v>
      </c>
      <c r="I10" s="79">
        <f t="shared" ref="I10:I49" ca="1" si="1">1-OFFSET(L10,0,40-E10-1,1,1)</f>
        <v>0.3883502339405196</v>
      </c>
      <c r="J10" s="80">
        <f t="shared" ref="J10:J50" ca="1" si="2">H10-I10</f>
        <v>3.5155339676342656E-3</v>
      </c>
      <c r="K10" s="81">
        <f t="array" aca="1" ref="K10:K17" ca="1">TRANSPOSE(L10:AY10)</f>
        <v>0.98757805290923528</v>
      </c>
      <c r="L10" s="82">
        <f t="shared" ref="L10:AY11" ca="1" si="3">L$50*EXP(-L$51*$G10)</f>
        <v>0.98757805290923528</v>
      </c>
      <c r="M10" s="83">
        <f t="shared" ca="1" si="3"/>
        <v>0.9753118694764833</v>
      </c>
      <c r="N10" s="83">
        <f t="shared" ca="1" si="3"/>
        <v>0.96320082223584724</v>
      </c>
      <c r="O10" s="83">
        <f t="shared" ca="1" si="3"/>
        <v>0.95124414296525361</v>
      </c>
      <c r="P10" s="83">
        <f t="shared" ca="1" si="3"/>
        <v>0.93944093625293323</v>
      </c>
      <c r="Q10" s="83">
        <f t="shared" ca="1" si="3"/>
        <v>0.92779019208316249</v>
      </c>
      <c r="R10" s="83">
        <f t="shared" ca="1" si="3"/>
        <v>0.91629079750321352</v>
      </c>
      <c r="S10" s="83">
        <f t="shared" ca="1" si="3"/>
        <v>0.90494154743016431</v>
      </c>
      <c r="T10" s="83">
        <f t="shared" ca="1" si="3"/>
        <v>0.89374115465303194</v>
      </c>
      <c r="U10" s="83">
        <f t="shared" ca="1" si="3"/>
        <v>0.88268825908260584</v>
      </c>
      <c r="V10" s="83">
        <f t="shared" ca="1" si="3"/>
        <v>0.87178143629840132</v>
      </c>
      <c r="W10" s="83">
        <f t="shared" ca="1" si="3"/>
        <v>0.86101920543931054</v>
      </c>
      <c r="X10" s="83">
        <f t="shared" ca="1" si="3"/>
        <v>0.85040003648180429</v>
      </c>
      <c r="Y10" s="83">
        <f t="shared" ca="1" si="3"/>
        <v>0.83992235694694606</v>
      </c>
      <c r="Z10" s="83">
        <f t="shared" ca="1" si="3"/>
        <v>0.82958455807500131</v>
      </c>
      <c r="AA10" s="83">
        <f t="shared" ca="1" si="3"/>
        <v>0.81938500050406582</v>
      </c>
      <c r="AB10" s="83">
        <f t="shared" ca="1" si="3"/>
        <v>0.80932201948690741</v>
      </c>
      <c r="AC10" s="83">
        <f t="shared" ca="1" si="3"/>
        <v>0.79939392967808476</v>
      </c>
      <c r="AD10" s="83">
        <f t="shared" ca="1" si="3"/>
        <v>0.78959902952140093</v>
      </c>
      <c r="AE10" s="83">
        <f t="shared" ca="1" si="3"/>
        <v>0.77993560526584771</v>
      </c>
      <c r="AF10" s="83">
        <f t="shared" ca="1" si="3"/>
        <v>0.77040193463639739</v>
      </c>
      <c r="AG10" s="83">
        <f t="shared" ca="1" si="3"/>
        <v>0.76099629018430504</v>
      </c>
      <c r="AH10" s="83">
        <f t="shared" ca="1" si="3"/>
        <v>0.75171694233998243</v>
      </c>
      <c r="AI10" s="83">
        <f t="shared" ca="1" si="3"/>
        <v>0.74256216219000126</v>
      </c>
      <c r="AJ10" s="83">
        <f t="shared" ca="1" si="3"/>
        <v>0.73353022399835999</v>
      </c>
      <c r="AK10" s="83">
        <f t="shared" ca="1" si="3"/>
        <v>0.72461940749082265</v>
      </c>
      <c r="AL10" s="83">
        <f t="shared" ca="1" si="3"/>
        <v>0.71582799991987323</v>
      </c>
      <c r="AM10" s="83">
        <f t="shared" ca="1" si="3"/>
        <v>0.70715429792666429</v>
      </c>
      <c r="AN10" s="83">
        <f t="shared" ca="1" si="3"/>
        <v>0.69859660921522304</v>
      </c>
      <c r="AO10" s="83">
        <f t="shared" ca="1" si="3"/>
        <v>0.69015325405314776</v>
      </c>
      <c r="AP10" s="83">
        <f t="shared" ca="1" si="3"/>
        <v>0.6818225666120542</v>
      </c>
      <c r="AQ10" s="83">
        <f t="shared" ca="1" si="3"/>
        <v>0.67360289616011992</v>
      </c>
      <c r="AR10" s="83">
        <f t="shared" ca="1" si="3"/>
        <v>0.66549260811822575</v>
      </c>
      <c r="AS10" s="83">
        <f t="shared" ca="1" si="3"/>
        <v>0.65749008499038908</v>
      </c>
      <c r="AT10" s="83">
        <f t="shared" ca="1" si="3"/>
        <v>0.64959372717844832</v>
      </c>
      <c r="AU10" s="83">
        <f t="shared" ca="1" si="3"/>
        <v>0.64180195369024484</v>
      </c>
      <c r="AV10" s="83">
        <f t="shared" ca="1" si="3"/>
        <v>0.6341132027499129</v>
      </c>
      <c r="AW10" s="83">
        <f t="shared" ca="1" si="3"/>
        <v>0.62652593231826303</v>
      </c>
      <c r="AX10" s="83">
        <f t="shared" ca="1" si="3"/>
        <v>0.61903862053068825</v>
      </c>
      <c r="AY10" s="84">
        <f t="shared" ca="1" si="3"/>
        <v>0.6116497660594804</v>
      </c>
    </row>
    <row r="11" spans="2:51" x14ac:dyDescent="0.2">
      <c r="B11" s="75" t="s">
        <v>4</v>
      </c>
      <c r="C11" s="85">
        <v>0.1</v>
      </c>
      <c r="D11" s="77"/>
      <c r="E11" s="75">
        <f t="shared" ref="E11:E50" ca="1" si="4">E10+1</f>
        <v>1</v>
      </c>
      <c r="F11" s="76">
        <f t="shared" ref="F11:F50" ca="1" si="5">F10+0.25</f>
        <v>0.25</v>
      </c>
      <c r="G11" s="86">
        <f t="shared" ref="G11:G50" ca="1" si="6">(G10+MeanRev*(b_Param-G10)*0.25+NORMSINV(RAND())*SQRT(0.25)*Volatility)</f>
        <v>5.076903461729191E-2</v>
      </c>
      <c r="H11" s="78">
        <f t="shared" ca="1" si="0"/>
        <v>0.38320286345061816</v>
      </c>
      <c r="I11" s="79">
        <f t="shared" ca="1" si="1"/>
        <v>0.38391924165584612</v>
      </c>
      <c r="J11" s="80">
        <f t="shared" ca="1" si="2"/>
        <v>-7.1637820522796325E-4</v>
      </c>
      <c r="K11" s="81">
        <f ca="1"/>
        <v>0.9753118694764833</v>
      </c>
      <c r="L11" s="87">
        <f ca="1">L$50*EXP(-L$51*$G11)</f>
        <v>0.98739055400818676</v>
      </c>
      <c r="M11" s="78">
        <f t="shared" ca="1" si="3"/>
        <v>0.97494613505341854</v>
      </c>
      <c r="N11" s="78">
        <f t="shared" ca="1" si="3"/>
        <v>0.96266574179124997</v>
      </c>
      <c r="O11" s="78">
        <f t="shared" ca="1" si="3"/>
        <v>0.9505482455934755</v>
      </c>
      <c r="P11" s="78">
        <f t="shared" ca="1" si="3"/>
        <v>0.93859240376070852</v>
      </c>
      <c r="Q11" s="78">
        <f t="shared" ca="1" si="3"/>
        <v>0.92679687174847247</v>
      </c>
      <c r="R11" s="78">
        <f t="shared" ca="1" si="3"/>
        <v>0.91516021447096885</v>
      </c>
      <c r="S11" s="78">
        <f t="shared" ca="1" si="3"/>
        <v>0.90368091674310669</v>
      </c>
      <c r="T11" s="78">
        <f t="shared" ca="1" si="3"/>
        <v>0.89235739291794991</v>
      </c>
      <c r="U11" s="78">
        <f t="shared" ca="1" si="3"/>
        <v>0.88118799577342977</v>
      </c>
      <c r="V11" s="78">
        <f t="shared" ca="1" si="3"/>
        <v>0.87017102469901564</v>
      </c>
      <c r="W11" s="78">
        <f t="shared" ca="1" si="3"/>
        <v>0.85930473323001366</v>
      </c>
      <c r="X11" s="78">
        <f t="shared" ca="1" si="3"/>
        <v>0.84858733597428226</v>
      </c>
      <c r="Y11" s="78">
        <f t="shared" ca="1" si="3"/>
        <v>0.83801701497341619</v>
      </c>
      <c r="Z11" s="78">
        <f t="shared" ca="1" si="3"/>
        <v>0.827591925537843</v>
      </c>
      <c r="AA11" s="78">
        <f t="shared" ca="1" si="3"/>
        <v>0.81731020159281054</v>
      </c>
      <c r="AB11" s="78">
        <f t="shared" ca="1" si="3"/>
        <v>0.80716996056989965</v>
      </c>
      <c r="AC11" s="78">
        <f t="shared" ca="1" si="3"/>
        <v>0.79716930787649209</v>
      </c>
      <c r="AD11" s="78">
        <f t="shared" ca="1" si="3"/>
        <v>0.78730634097352392</v>
      </c>
      <c r="AE11" s="78">
        <f t="shared" ca="1" si="3"/>
        <v>0.77757915308989134</v>
      </c>
      <c r="AF11" s="78">
        <f t="shared" ca="1" si="3"/>
        <v>0.76798583660001096</v>
      </c>
      <c r="AG11" s="78">
        <f t="shared" ca="1" si="3"/>
        <v>0.75852448608929068</v>
      </c>
      <c r="AH11" s="78">
        <f t="shared" ca="1" si="3"/>
        <v>0.74919320113061583</v>
      </c>
      <c r="AI11" s="78">
        <f t="shared" ca="1" si="3"/>
        <v>0.73999008879341166</v>
      </c>
      <c r="AJ11" s="78">
        <f t="shared" ca="1" si="3"/>
        <v>0.7309132659053853</v>
      </c>
      <c r="AK11" s="78">
        <f t="shared" ca="1" si="3"/>
        <v>0.72196086108568847</v>
      </c>
      <c r="AL11" s="78">
        <f t="shared" ca="1" si="3"/>
        <v>0.71313101656695987</v>
      </c>
      <c r="AM11" s="78">
        <f t="shared" ca="1" si="3"/>
        <v>0.7044218898225072</v>
      </c>
      <c r="AN11" s="78">
        <f t="shared" ca="1" si="3"/>
        <v>0.69583165501376476</v>
      </c>
      <c r="AO11" s="78">
        <f t="shared" ca="1" si="3"/>
        <v>0.68735850427210909</v>
      </c>
      <c r="AP11" s="78">
        <f t="shared" ca="1" si="3"/>
        <v>0.67900064882813327</v>
      </c>
      <c r="AQ11" s="78">
        <f t="shared" ca="1" si="3"/>
        <v>0.67075632000055485</v>
      </c>
      <c r="AR11" s="78">
        <f t="shared" ca="1" si="3"/>
        <v>0.66262377005607509</v>
      </c>
      <c r="AS11" s="78">
        <f t="shared" ca="1" si="3"/>
        <v>0.65460127295070236</v>
      </c>
      <c r="AT11" s="78">
        <f t="shared" ca="1" si="3"/>
        <v>0.64668712496229941</v>
      </c>
      <c r="AU11" s="78">
        <f t="shared" ca="1" si="3"/>
        <v>0.63887964522341445</v>
      </c>
      <c r="AV11" s="78">
        <f t="shared" ca="1" si="3"/>
        <v>0.63117717616280122</v>
      </c>
      <c r="AW11" s="78">
        <f t="shared" ca="1" si="3"/>
        <v>0.62357808386342095</v>
      </c>
      <c r="AX11" s="78">
        <f t="shared" ca="1" si="3"/>
        <v>0.61608075834415388</v>
      </c>
      <c r="AY11" s="88"/>
    </row>
    <row r="12" spans="2:51" x14ac:dyDescent="0.2">
      <c r="B12" s="75" t="s">
        <v>3</v>
      </c>
      <c r="C12" s="89">
        <v>0.05</v>
      </c>
      <c r="D12" s="77"/>
      <c r="E12" s="75">
        <f t="shared" ca="1" si="4"/>
        <v>2</v>
      </c>
      <c r="F12" s="76">
        <f t="shared" ca="1" si="5"/>
        <v>0.5</v>
      </c>
      <c r="G12" s="77">
        <f t="shared" ca="1" si="6"/>
        <v>5.6686293812785692E-2</v>
      </c>
      <c r="H12" s="78">
        <f t="shared" ca="1" si="0"/>
        <v>0.36806619550031255</v>
      </c>
      <c r="I12" s="90">
        <f t="shared" ca="1" si="1"/>
        <v>0.39864474352539259</v>
      </c>
      <c r="J12" s="80">
        <f t="shared" ca="1" si="2"/>
        <v>-3.0578548025080032E-2</v>
      </c>
      <c r="K12" s="81">
        <f ca="1"/>
        <v>0.96320082223584724</v>
      </c>
      <c r="L12" s="87">
        <f t="shared" ref="L12:AW19" ca="1" si="7">L$50*EXP(-L$51*$G12)</f>
        <v>0.98594905286763834</v>
      </c>
      <c r="M12" s="78">
        <f t="shared" ca="1" si="7"/>
        <v>0.97213661209677493</v>
      </c>
      <c r="N12" s="78">
        <f t="shared" ca="1" si="7"/>
        <v>0.95855854976289279</v>
      </c>
      <c r="O12" s="78">
        <f t="shared" ca="1" si="7"/>
        <v>0.94521073452351556</v>
      </c>
      <c r="P12" s="78">
        <f t="shared" ca="1" si="7"/>
        <v>0.9320890406790594</v>
      </c>
      <c r="Q12" s="78">
        <f t="shared" ca="1" si="7"/>
        <v>0.91918935629466259</v>
      </c>
      <c r="R12" s="78">
        <f t="shared" ca="1" si="7"/>
        <v>0.90650759045906226</v>
      </c>
      <c r="S12" s="78">
        <f t="shared" ca="1" si="7"/>
        <v>0.89403967975110243</v>
      </c>
      <c r="T12" s="78">
        <f t="shared" ca="1" si="7"/>
        <v>0.88178159397933453</v>
      </c>
      <c r="U12" s="78">
        <f t="shared" ca="1" si="7"/>
        <v>0.86972934125536561</v>
      </c>
      <c r="V12" s="78">
        <f t="shared" ca="1" si="7"/>
        <v>0.85787897245712164</v>
      </c>
      <c r="W12" s="78">
        <f t="shared" ca="1" si="7"/>
        <v>0.8462265851340024</v>
      </c>
      <c r="X12" s="78">
        <f t="shared" ca="1" si="7"/>
        <v>0.83476832690199076</v>
      </c>
      <c r="Y12" s="78">
        <f t="shared" ca="1" si="7"/>
        <v>0.82350039837313871</v>
      </c>
      <c r="Z12" s="78">
        <f t="shared" ca="1" si="7"/>
        <v>0.81241905566045269</v>
      </c>
      <c r="AA12" s="78">
        <f t="shared" ca="1" si="7"/>
        <v>0.80152061249604845</v>
      </c>
      <c r="AB12" s="78">
        <f t="shared" ca="1" si="7"/>
        <v>0.79080144199750324</v>
      </c>
      <c r="AC12" s="78">
        <f t="shared" ca="1" si="7"/>
        <v>0.7802579781146094</v>
      </c>
      <c r="AD12" s="78">
        <f t="shared" ca="1" si="7"/>
        <v>0.76988671678619758</v>
      </c>
      <c r="AE12" s="78">
        <f t="shared" ca="1" si="7"/>
        <v>0.75968421683434861</v>
      </c>
      <c r="AF12" s="78">
        <f t="shared" ca="1" si="7"/>
        <v>0.74964710062113282</v>
      </c>
      <c r="AG12" s="78">
        <f t="shared" ca="1" si="7"/>
        <v>0.73977205449099637</v>
      </c>
      <c r="AH12" s="78">
        <f t="shared" ca="1" si="7"/>
        <v>0.73005582902004262</v>
      </c>
      <c r="AI12" s="78">
        <f t="shared" ca="1" si="7"/>
        <v>0.72049523909172553</v>
      </c>
      <c r="AJ12" s="78">
        <f t="shared" ca="1" si="7"/>
        <v>0.71108716381686721</v>
      </c>
      <c r="AK12" s="78">
        <f t="shared" ca="1" si="7"/>
        <v>0.70182854631443381</v>
      </c>
      <c r="AL12" s="78">
        <f t="shared" ca="1" si="7"/>
        <v>0.69271639336812996</v>
      </c>
      <c r="AM12" s="78">
        <f t="shared" ca="1" si="7"/>
        <v>0.68374777497260786</v>
      </c>
      <c r="AN12" s="78">
        <f t="shared" ca="1" si="7"/>
        <v>0.67491982378191928</v>
      </c>
      <c r="AO12" s="78">
        <f t="shared" ca="1" si="7"/>
        <v>0.66622973447175882</v>
      </c>
      <c r="AP12" s="78">
        <f t="shared" ca="1" si="7"/>
        <v>0.6576747630260491</v>
      </c>
      <c r="AQ12" s="78">
        <f t="shared" ca="1" si="7"/>
        <v>0.64925222595750698</v>
      </c>
      <c r="AR12" s="78">
        <f t="shared" ca="1" si="7"/>
        <v>0.64095949947097308</v>
      </c>
      <c r="AS12" s="78">
        <f t="shared" ca="1" si="7"/>
        <v>0.63279401857751916</v>
      </c>
      <c r="AT12" s="78">
        <f t="shared" ca="1" si="7"/>
        <v>0.62475327616661847</v>
      </c>
      <c r="AU12" s="78">
        <f t="shared" ca="1" si="7"/>
        <v>0.61683482204301054</v>
      </c>
      <c r="AV12" s="78">
        <f t="shared" ca="1" si="7"/>
        <v>0.60903626193427984</v>
      </c>
      <c r="AW12" s="78">
        <f t="shared" ca="1" si="7"/>
        <v>0.60135525647460741</v>
      </c>
      <c r="AX12" s="78"/>
      <c r="AY12" s="88"/>
    </row>
    <row r="13" spans="2:51" x14ac:dyDescent="0.2">
      <c r="B13" s="75" t="s">
        <v>5</v>
      </c>
      <c r="C13" s="89">
        <v>0.01</v>
      </c>
      <c r="D13" s="77"/>
      <c r="E13" s="75">
        <f t="shared" ca="1" si="4"/>
        <v>3</v>
      </c>
      <c r="F13" s="76">
        <f t="shared" ca="1" si="5"/>
        <v>0.75</v>
      </c>
      <c r="G13" s="77">
        <f t="shared" ca="1" si="6"/>
        <v>5.2566874291665996E-2</v>
      </c>
      <c r="H13" s="78">
        <f t="shared" ca="1" si="0"/>
        <v>0.36551343054942736</v>
      </c>
      <c r="I13" s="90">
        <f t="shared" ca="1" si="1"/>
        <v>0.37563370218656567</v>
      </c>
      <c r="J13" s="80">
        <f t="shared" ca="1" si="2"/>
        <v>-1.0120271637138301E-2</v>
      </c>
      <c r="K13" s="81">
        <f ca="1"/>
        <v>0.95124414296525361</v>
      </c>
      <c r="L13" s="87">
        <f t="shared" ca="1" si="7"/>
        <v>0.98695236025695532</v>
      </c>
      <c r="M13" s="78">
        <f t="shared" ca="1" si="7"/>
        <v>0.97409166060975194</v>
      </c>
      <c r="N13" s="78">
        <f t="shared" ca="1" si="7"/>
        <v>0.96141599674368128</v>
      </c>
      <c r="O13" s="78">
        <f t="shared" ca="1" si="7"/>
        <v>0.94892337086674328</v>
      </c>
      <c r="P13" s="78">
        <f t="shared" ca="1" si="7"/>
        <v>0.93661170393434467</v>
      </c>
      <c r="Q13" s="78">
        <f t="shared" ca="1" si="7"/>
        <v>0.92447884688409698</v>
      </c>
      <c r="R13" s="78">
        <f t="shared" ca="1" si="7"/>
        <v>0.91252259094951504</v>
      </c>
      <c r="S13" s="78">
        <f t="shared" ca="1" si="7"/>
        <v>0.90074067711721995</v>
      </c>
      <c r="T13" s="78">
        <f t="shared" ca="1" si="7"/>
        <v>0.88913080478826123</v>
      </c>
      <c r="U13" s="78">
        <f t="shared" ca="1" si="7"/>
        <v>0.87769063970037231</v>
      </c>
      <c r="V13" s="78">
        <f t="shared" ca="1" si="7"/>
        <v>0.86641782116436494</v>
      </c>
      <c r="W13" s="78">
        <f t="shared" ca="1" si="7"/>
        <v>0.85530996866445452</v>
      </c>
      <c r="X13" s="78">
        <f t="shared" ca="1" si="7"/>
        <v>0.84436468786906815</v>
      </c>
      <c r="Y13" s="78">
        <f t="shared" ca="1" si="7"/>
        <v>0.8335795760956356</v>
      </c>
      <c r="Z13" s="78">
        <f t="shared" ca="1" si="7"/>
        <v>0.82295222726997963</v>
      </c>
      <c r="AA13" s="78">
        <f t="shared" ca="1" si="7"/>
        <v>0.81248023641820244</v>
      </c>
      <c r="AB13" s="78">
        <f t="shared" ca="1" si="7"/>
        <v>0.80216120372641186</v>
      </c>
      <c r="AC13" s="78">
        <f t="shared" ca="1" si="7"/>
        <v>0.79199273820122507</v>
      </c>
      <c r="AD13" s="78">
        <f t="shared" ca="1" si="7"/>
        <v>0.78197246096172435</v>
      </c>
      <c r="AE13" s="78">
        <f t="shared" ca="1" si="7"/>
        <v>0.77209800819143026</v>
      </c>
      <c r="AF13" s="78">
        <f t="shared" ca="1" si="7"/>
        <v>0.76236703377685977</v>
      </c>
      <c r="AG13" s="78">
        <f t="shared" ca="1" si="7"/>
        <v>0.75277721165738265</v>
      </c>
      <c r="AH13" s="78">
        <f t="shared" ca="1" si="7"/>
        <v>0.74332623790934138</v>
      </c>
      <c r="AI13" s="78">
        <f t="shared" ca="1" si="7"/>
        <v>0.73401183258577385</v>
      </c>
      <c r="AJ13" s="78">
        <f t="shared" ca="1" si="7"/>
        <v>0.72483174133154959</v>
      </c>
      <c r="AK13" s="78">
        <f t="shared" ca="1" si="7"/>
        <v>0.71578373679230989</v>
      </c>
      <c r="AL13" s="78">
        <f t="shared" ca="1" si="7"/>
        <v>0.70686561983426865</v>
      </c>
      <c r="AM13" s="78">
        <f t="shared" ca="1" si="7"/>
        <v>0.69807522059069294</v>
      </c>
      <c r="AN13" s="78">
        <f t="shared" ca="1" si="7"/>
        <v>0.6894103993497217</v>
      </c>
      <c r="AO13" s="78">
        <f t="shared" ca="1" si="7"/>
        <v>0.6808690472971054</v>
      </c>
      <c r="AP13" s="78">
        <f t="shared" ca="1" si="7"/>
        <v>0.67244908712643914</v>
      </c>
      <c r="AQ13" s="78">
        <f t="shared" ca="1" si="7"/>
        <v>0.66414847352852935</v>
      </c>
      <c r="AR13" s="78">
        <f t="shared" ca="1" si="7"/>
        <v>0.65596519357065908</v>
      </c>
      <c r="AS13" s="78">
        <f t="shared" ca="1" si="7"/>
        <v>0.64789726697570793</v>
      </c>
      <c r="AT13" s="78">
        <f t="shared" ca="1" si="7"/>
        <v>0.63994274631032433</v>
      </c>
      <c r="AU13" s="78">
        <f t="shared" ca="1" si="7"/>
        <v>0.63209971709064894</v>
      </c>
      <c r="AV13" s="78">
        <f t="shared" ca="1" si="7"/>
        <v>0.62436629781343433</v>
      </c>
      <c r="AW13" s="78"/>
      <c r="AX13" s="78"/>
      <c r="AY13" s="88"/>
    </row>
    <row r="14" spans="2:51" ht="13.5" thickBot="1" x14ac:dyDescent="0.25">
      <c r="B14" s="91" t="s">
        <v>6</v>
      </c>
      <c r="C14" s="92">
        <v>0.05</v>
      </c>
      <c r="D14" s="77"/>
      <c r="E14" s="75">
        <f t="shared" ca="1" si="4"/>
        <v>4</v>
      </c>
      <c r="F14" s="76">
        <f t="shared" ca="1" si="5"/>
        <v>1</v>
      </c>
      <c r="G14" s="77">
        <f t="shared" ca="1" si="6"/>
        <v>5.688448172310407E-2</v>
      </c>
      <c r="H14" s="78">
        <f t="shared" ca="1" si="0"/>
        <v>0.35270873703317296</v>
      </c>
      <c r="I14" s="90">
        <f t="shared" ca="1" si="1"/>
        <v>0.38389021538214019</v>
      </c>
      <c r="J14" s="80">
        <f t="shared" ca="1" si="2"/>
        <v>-3.1181478348967229E-2</v>
      </c>
      <c r="K14" s="81">
        <f ca="1"/>
        <v>0.93944093625293323</v>
      </c>
      <c r="L14" s="87">
        <f t="shared" ca="1" si="7"/>
        <v>0.98590080883035425</v>
      </c>
      <c r="M14" s="78">
        <f t="shared" ca="1" si="7"/>
        <v>0.97204265245555854</v>
      </c>
      <c r="N14" s="78">
        <f t="shared" ca="1" si="7"/>
        <v>0.95842129048458058</v>
      </c>
      <c r="O14" s="78">
        <f t="shared" ca="1" si="7"/>
        <v>0.94503248389615135</v>
      </c>
      <c r="P14" s="78">
        <f t="shared" ca="1" si="7"/>
        <v>0.93187200391408731</v>
      </c>
      <c r="Q14" s="78">
        <f t="shared" ca="1" si="7"/>
        <v>0.91893563994829397</v>
      </c>
      <c r="R14" s="78">
        <f t="shared" ca="1" si="7"/>
        <v>0.90621920667772582</v>
      </c>
      <c r="S14" s="78">
        <f t="shared" ca="1" si="7"/>
        <v>0.89371855034604919</v>
      </c>
      <c r="T14" s="78">
        <f t="shared" ca="1" si="7"/>
        <v>0.88142955433557557</v>
      </c>
      <c r="U14" s="78">
        <f t="shared" ca="1" si="7"/>
        <v>0.86934814408018712</v>
      </c>
      <c r="V14" s="78">
        <f t="shared" ca="1" si="7"/>
        <v>0.85747029137345498</v>
      </c>
      <c r="W14" s="78">
        <f t="shared" ca="1" si="7"/>
        <v>0.84579201812392424</v>
      </c>
      <c r="X14" s="78">
        <f t="shared" ca="1" si="7"/>
        <v>0.8343093996056018</v>
      </c>
      <c r="Y14" s="78">
        <f t="shared" ca="1" si="7"/>
        <v>0.82301856724802225</v>
      </c>
      <c r="Z14" s="78">
        <f t="shared" ca="1" si="7"/>
        <v>0.81191571100684301</v>
      </c>
      <c r="AA14" s="78">
        <f t="shared" ca="1" si="7"/>
        <v>0.80099708135275394</v>
      </c>
      <c r="AB14" s="78">
        <f t="shared" ca="1" si="7"/>
        <v>0.79025899091353602</v>
      </c>
      <c r="AC14" s="78">
        <f t="shared" ca="1" si="7"/>
        <v>0.77969781580135811</v>
      </c>
      <c r="AD14" s="78">
        <f t="shared" ca="1" si="7"/>
        <v>0.76930999665486732</v>
      </c>
      <c r="AE14" s="78">
        <f t="shared" ca="1" si="7"/>
        <v>0.75909203942326642</v>
      </c>
      <c r="AF14" s="78">
        <f t="shared" ca="1" si="7"/>
        <v>0.74904051591738763</v>
      </c>
      <c r="AG14" s="78">
        <f t="shared" ca="1" si="7"/>
        <v>0.73915206415074952</v>
      </c>
      <c r="AH14" s="78">
        <f t="shared" ca="1" si="7"/>
        <v>0.72942338849171018</v>
      </c>
      <c r="AI14" s="78">
        <f t="shared" ca="1" si="7"/>
        <v>0.7198512596460952</v>
      </c>
      <c r="AJ14" s="78">
        <f t="shared" ca="1" si="7"/>
        <v>0.71043251448807732</v>
      </c>
      <c r="AK14" s="78">
        <f t="shared" ca="1" si="7"/>
        <v>0.70116405575560314</v>
      </c>
      <c r="AL14" s="78">
        <f t="shared" ca="1" si="7"/>
        <v>0.69204285162529022</v>
      </c>
      <c r="AM14" s="78">
        <f t="shared" ca="1" si="7"/>
        <v>0.68306593518045955</v>
      </c>
      <c r="AN14" s="78">
        <f t="shared" ca="1" si="7"/>
        <v>0.67423040378479482</v>
      </c>
      <c r="AO14" s="78">
        <f t="shared" ca="1" si="7"/>
        <v>0.66553341837304769</v>
      </c>
      <c r="AP14" s="78">
        <f t="shared" ca="1" si="7"/>
        <v>0.65697220266921463</v>
      </c>
      <c r="AQ14" s="78">
        <f t="shared" ca="1" si="7"/>
        <v>0.64854404234169605</v>
      </c>
      <c r="AR14" s="78">
        <f t="shared" ca="1" si="7"/>
        <v>0.64024628410410156</v>
      </c>
      <c r="AS14" s="78">
        <f t="shared" ca="1" si="7"/>
        <v>0.63207633476959535</v>
      </c>
      <c r="AT14" s="78">
        <f t="shared" ca="1" si="7"/>
        <v>0.62403166026595458</v>
      </c>
      <c r="AU14" s="78">
        <f t="shared" ca="1" si="7"/>
        <v>0.61610978461785981</v>
      </c>
      <c r="AV14" s="78"/>
      <c r="AW14" s="78"/>
      <c r="AX14" s="78"/>
      <c r="AY14" s="88"/>
    </row>
    <row r="15" spans="2:51" x14ac:dyDescent="0.2">
      <c r="C15" s="93"/>
      <c r="D15" s="94"/>
      <c r="E15" s="75">
        <f t="shared" ca="1" si="4"/>
        <v>5</v>
      </c>
      <c r="F15" s="76">
        <f t="shared" ca="1" si="5"/>
        <v>1.25</v>
      </c>
      <c r="G15" s="77">
        <f t="shared" ca="1" si="6"/>
        <v>5.7177835925633955E-2</v>
      </c>
      <c r="H15" s="78">
        <f t="shared" ca="1" si="0"/>
        <v>0.34468426547319003</v>
      </c>
      <c r="I15" s="90">
        <f t="shared" ca="1" si="1"/>
        <v>0.37703493304236946</v>
      </c>
      <c r="J15" s="80">
        <f t="shared" ca="1" si="2"/>
        <v>-3.2350667569179425E-2</v>
      </c>
      <c r="K15" s="81">
        <f ca="1"/>
        <v>0.92779019208316249</v>
      </c>
      <c r="L15" s="87">
        <f t="shared" ca="1" si="7"/>
        <v>0.9858294032017535</v>
      </c>
      <c r="M15" s="78">
        <f t="shared" ca="1" si="7"/>
        <v>0.97190359174332519</v>
      </c>
      <c r="N15" s="78">
        <f t="shared" ca="1" si="7"/>
        <v>0.95821815783056496</v>
      </c>
      <c r="O15" s="78">
        <f t="shared" ca="1" si="7"/>
        <v>0.94476870220406095</v>
      </c>
      <c r="P15" s="78">
        <f t="shared" ca="1" si="7"/>
        <v>0.93155084273401301</v>
      </c>
      <c r="Q15" s="78">
        <f t="shared" ca="1" si="7"/>
        <v>0.91856022208814869</v>
      </c>
      <c r="R15" s="78">
        <f t="shared" ca="1" si="7"/>
        <v>0.90579251454924581</v>
      </c>
      <c r="S15" s="78">
        <f t="shared" ca="1" si="7"/>
        <v>0.8932434320532161</v>
      </c>
      <c r="T15" s="78">
        <f t="shared" ca="1" si="7"/>
        <v>0.88090872951345656</v>
      </c>
      <c r="U15" s="78">
        <f t="shared" ca="1" si="7"/>
        <v>0.86878420949226642</v>
      </c>
      <c r="V15" s="78">
        <f t="shared" ca="1" si="7"/>
        <v>0.85686572627555491</v>
      </c>
      <c r="W15" s="78">
        <f t="shared" ca="1" si="7"/>
        <v>0.84514918940279682</v>
      </c>
      <c r="X15" s="78">
        <f t="shared" ca="1" si="7"/>
        <v>0.83363056670021141</v>
      </c>
      <c r="Y15" s="78">
        <f t="shared" ca="1" si="7"/>
        <v>0.82230588686144945</v>
      </c>
      <c r="Z15" s="78">
        <f t="shared" ca="1" si="7"/>
        <v>0.81117124161662391</v>
      </c>
      <c r="AA15" s="78">
        <f t="shared" ca="1" si="7"/>
        <v>0.80022278752732889</v>
      </c>
      <c r="AB15" s="78">
        <f t="shared" ca="1" si="7"/>
        <v>0.78945674744231953</v>
      </c>
      <c r="AC15" s="78">
        <f t="shared" ca="1" si="7"/>
        <v>0.77886941164577228</v>
      </c>
      <c r="AD15" s="78">
        <f t="shared" ca="1" si="7"/>
        <v>0.76845713872749188</v>
      </c>
      <c r="AE15" s="78">
        <f t="shared" ca="1" si="7"/>
        <v>0.75821635620206529</v>
      </c>
      <c r="AF15" s="78">
        <f t="shared" ca="1" si="7"/>
        <v>0.74814356090176837</v>
      </c>
      <c r="AG15" s="78">
        <f t="shared" ca="1" si="7"/>
        <v>0.73823531916600638</v>
      </c>
      <c r="AH15" s="78">
        <f t="shared" ca="1" si="7"/>
        <v>0.7284882668481899</v>
      </c>
      <c r="AI15" s="78">
        <f t="shared" ca="1" si="7"/>
        <v>0.71889910915921584</v>
      </c>
      <c r="AJ15" s="78">
        <f t="shared" ca="1" si="7"/>
        <v>0.70946462036511659</v>
      </c>
      <c r="AK15" s="78">
        <f t="shared" ca="1" si="7"/>
        <v>0.7001816433549628</v>
      </c>
      <c r="AL15" s="78">
        <f t="shared" ca="1" si="7"/>
        <v>0.69104708909373502</v>
      </c>
      <c r="AM15" s="78">
        <f t="shared" ca="1" si="7"/>
        <v>0.6820579359736223</v>
      </c>
      <c r="AN15" s="78">
        <f t="shared" ca="1" si="7"/>
        <v>0.67321122907603737</v>
      </c>
      <c r="AO15" s="78">
        <f t="shared" ca="1" si="7"/>
        <v>0.66450407935556899</v>
      </c>
      <c r="AP15" s="78">
        <f t="shared" ca="1" si="7"/>
        <v>0.65593366275610243</v>
      </c>
      <c r="AQ15" s="78">
        <f t="shared" ca="1" si="7"/>
        <v>0.64749721926842885</v>
      </c>
      <c r="AR15" s="78">
        <f t="shared" ca="1" si="7"/>
        <v>0.63919205193782558</v>
      </c>
      <c r="AS15" s="78">
        <f t="shared" ca="1" si="7"/>
        <v>0.63101552582931864</v>
      </c>
      <c r="AT15" s="78">
        <f t="shared" ca="1" si="7"/>
        <v>0.62296506695763054</v>
      </c>
      <c r="AU15" s="78"/>
      <c r="AV15" s="78"/>
      <c r="AW15" s="78"/>
      <c r="AX15" s="78"/>
      <c r="AY15" s="88"/>
    </row>
    <row r="16" spans="2:51" x14ac:dyDescent="0.2">
      <c r="C16" s="93"/>
      <c r="D16" s="94"/>
      <c r="E16" s="75">
        <f t="shared" ca="1" si="4"/>
        <v>6</v>
      </c>
      <c r="F16" s="76">
        <f t="shared" ca="1" si="5"/>
        <v>1.5</v>
      </c>
      <c r="G16" s="77">
        <f t="shared" ca="1" si="6"/>
        <v>6.4519498228829644E-2</v>
      </c>
      <c r="H16" s="78">
        <f t="shared" ca="1" si="0"/>
        <v>0.32926148084240864</v>
      </c>
      <c r="I16" s="90">
        <f t="shared" ca="1" si="1"/>
        <v>0.39496082665731669</v>
      </c>
      <c r="J16" s="80">
        <f t="shared" ca="1" si="2"/>
        <v>-6.569934581490805E-2</v>
      </c>
      <c r="K16" s="81">
        <f ca="1"/>
        <v>0.91629079750321352</v>
      </c>
      <c r="L16" s="87">
        <f t="shared" ca="1" si="7"/>
        <v>0.98404404545004887</v>
      </c>
      <c r="M16" s="78">
        <f t="shared" ca="1" si="7"/>
        <v>0.96842984468041005</v>
      </c>
      <c r="N16" s="78">
        <f t="shared" ca="1" si="7"/>
        <v>0.95314843304331465</v>
      </c>
      <c r="O16" s="78">
        <f t="shared" ca="1" si="7"/>
        <v>0.93819106524650298</v>
      </c>
      <c r="P16" s="78">
        <f t="shared" ca="1" si="7"/>
        <v>0.92354921451222349</v>
      </c>
      <c r="Q16" s="78">
        <f t="shared" ca="1" si="7"/>
        <v>0.90921457116811932</v>
      </c>
      <c r="R16" s="78">
        <f t="shared" ca="1" si="7"/>
        <v>0.89517904074196319</v>
      </c>
      <c r="S16" s="78">
        <f t="shared" ca="1" si="7"/>
        <v>0.88143474162528002</v>
      </c>
      <c r="T16" s="78">
        <f t="shared" ca="1" si="7"/>
        <v>0.86797400236457578</v>
      </c>
      <c r="U16" s="78">
        <f t="shared" ca="1" si="7"/>
        <v>0.85478935863311689</v>
      </c>
      <c r="V16" s="78">
        <f t="shared" ca="1" si="7"/>
        <v>0.84187354993093866</v>
      </c>
      <c r="W16" s="78">
        <f t="shared" ca="1" si="7"/>
        <v>0.82921951605595456</v>
      </c>
      <c r="X16" s="78">
        <f t="shared" ca="1" si="7"/>
        <v>0.81682039338466816</v>
      </c>
      <c r="Y16" s="78">
        <f t="shared" ca="1" si="7"/>
        <v>0.8046695109969999</v>
      </c>
      <c r="Z16" s="78">
        <f t="shared" ca="1" si="7"/>
        <v>0.7927603866761227</v>
      </c>
      <c r="AA16" s="78">
        <f t="shared" ca="1" si="7"/>
        <v>0.78108672281090197</v>
      </c>
      <c r="AB16" s="78">
        <f t="shared" ca="1" si="7"/>
        <v>0.76964240222554614</v>
      </c>
      <c r="AC16" s="78">
        <f t="shared" ca="1" si="7"/>
        <v>0.75842148395835773</v>
      </c>
      <c r="AD16" s="78">
        <f t="shared" ca="1" si="7"/>
        <v>0.74741819900901096</v>
      </c>
      <c r="AE16" s="78">
        <f t="shared" ca="1" si="7"/>
        <v>0.7366269460715511</v>
      </c>
      <c r="AF16" s="78">
        <f t="shared" ca="1" si="7"/>
        <v>0.72604228726829045</v>
      </c>
      <c r="AG16" s="78">
        <f t="shared" ca="1" si="7"/>
        <v>0.71565894389794804</v>
      </c>
      <c r="AH16" s="78">
        <f t="shared" ca="1" si="7"/>
        <v>0.70547179220972478</v>
      </c>
      <c r="AI16" s="78">
        <f t="shared" ca="1" si="7"/>
        <v>0.6954758592135204</v>
      </c>
      <c r="AJ16" s="78">
        <f t="shared" ca="1" si="7"/>
        <v>0.68566631853514537</v>
      </c>
      <c r="AK16" s="78">
        <f t="shared" ca="1" si="7"/>
        <v>0.67603848632417585</v>
      </c>
      <c r="AL16" s="78">
        <f t="shared" ca="1" si="7"/>
        <v>0.66658781722100147</v>
      </c>
      <c r="AM16" s="78">
        <f t="shared" ca="1" si="7"/>
        <v>0.65730990038863923</v>
      </c>
      <c r="AN16" s="78">
        <f t="shared" ca="1" si="7"/>
        <v>0.64820045561400619</v>
      </c>
      <c r="AO16" s="78">
        <f t="shared" ca="1" si="7"/>
        <v>0.6392553294825476</v>
      </c>
      <c r="AP16" s="78">
        <f t="shared" ca="1" si="7"/>
        <v>0.63047049162941882</v>
      </c>
      <c r="AQ16" s="78">
        <f t="shared" ca="1" si="7"/>
        <v>0.62184203106977987</v>
      </c>
      <c r="AR16" s="78">
        <f t="shared" ca="1" si="7"/>
        <v>0.61336615261020244</v>
      </c>
      <c r="AS16" s="78">
        <f t="shared" ca="1" si="7"/>
        <v>0.60503917334268331</v>
      </c>
      <c r="AT16" s="78"/>
      <c r="AU16" s="78"/>
      <c r="AV16" s="78"/>
      <c r="AW16" s="78"/>
      <c r="AX16" s="78"/>
      <c r="AY16" s="88"/>
    </row>
    <row r="17" spans="3:51" x14ac:dyDescent="0.2">
      <c r="C17" s="93"/>
      <c r="D17" s="94"/>
      <c r="E17" s="75">
        <f t="shared" ca="1" si="4"/>
        <v>7</v>
      </c>
      <c r="F17" s="76">
        <f t="shared" ca="1" si="5"/>
        <v>1.75</v>
      </c>
      <c r="G17" s="77">
        <f t="shared" ca="1" si="6"/>
        <v>6.3618402356853163E-2</v>
      </c>
      <c r="H17" s="78">
        <f t="shared" ca="1" si="0"/>
        <v>0.32258459414832447</v>
      </c>
      <c r="I17" s="90">
        <f t="shared" ca="1" si="1"/>
        <v>0.3835210907931148</v>
      </c>
      <c r="J17" s="80">
        <f t="shared" ca="1" si="2"/>
        <v>-6.0936496644790339E-2</v>
      </c>
      <c r="K17" s="81">
        <f ca="1"/>
        <v>0.90494154743016431</v>
      </c>
      <c r="L17" s="87">
        <f t="shared" ca="1" si="7"/>
        <v>0.9842630012669159</v>
      </c>
      <c r="M17" s="78">
        <f t="shared" ca="1" si="7"/>
        <v>0.96885553372995536</v>
      </c>
      <c r="N17" s="78">
        <f t="shared" ca="1" si="7"/>
        <v>0.95376923050718099</v>
      </c>
      <c r="O17" s="78">
        <f t="shared" ca="1" si="7"/>
        <v>0.938995914838199</v>
      </c>
      <c r="P17" s="78">
        <f t="shared" ca="1" si="7"/>
        <v>0.92452760066504636</v>
      </c>
      <c r="Q17" s="78">
        <f t="shared" ca="1" si="7"/>
        <v>0.91035649258126072</v>
      </c>
      <c r="R17" s="78">
        <f t="shared" ca="1" si="7"/>
        <v>0.89647498522305047</v>
      </c>
      <c r="S17" s="78">
        <f t="shared" ca="1" si="7"/>
        <v>0.88287566216963531</v>
      </c>
      <c r="T17" s="78">
        <f t="shared" ca="1" si="7"/>
        <v>0.86955129441355339</v>
      </c>
      <c r="U17" s="78">
        <f t="shared" ca="1" si="7"/>
        <v>0.85649483845597862</v>
      </c>
      <c r="V17" s="78">
        <f t="shared" ca="1" si="7"/>
        <v>0.84369943407683734</v>
      </c>
      <c r="W17" s="78">
        <f t="shared" ca="1" si="7"/>
        <v>0.83115840182470035</v>
      </c>
      <c r="X17" s="78">
        <f t="shared" ca="1" si="7"/>
        <v>0.81886524026703289</v>
      </c>
      <c r="Y17" s="78">
        <f t="shared" ca="1" si="7"/>
        <v>0.80681362303737392</v>
      </c>
      <c r="Z17" s="78">
        <f t="shared" ca="1" si="7"/>
        <v>0.79499739571235151</v>
      </c>
      <c r="AA17" s="78">
        <f t="shared" ca="1" si="7"/>
        <v>0.78341057254810631</v>
      </c>
      <c r="AB17" s="78">
        <f t="shared" ca="1" si="7"/>
        <v>0.77204733310265261</v>
      </c>
      <c r="AC17" s="78">
        <f t="shared" ca="1" si="7"/>
        <v>0.76090201876793262</v>
      </c>
      <c r="AD17" s="78">
        <f t="shared" ca="1" si="7"/>
        <v>0.74996912923280756</v>
      </c>
      <c r="AE17" s="78">
        <f t="shared" ca="1" si="7"/>
        <v>0.7392433188959312</v>
      </c>
      <c r="AF17" s="78">
        <f t="shared" ca="1" si="7"/>
        <v>0.72871939324537227</v>
      </c>
      <c r="AG17" s="78">
        <f t="shared" ca="1" si="7"/>
        <v>0.71839230521996467</v>
      </c>
      <c r="AH17" s="78">
        <f t="shared" ca="1" si="7"/>
        <v>0.70825715156564484</v>
      </c>
      <c r="AI17" s="78">
        <f t="shared" ca="1" si="7"/>
        <v>0.69830916919848929</v>
      </c>
      <c r="AJ17" s="78">
        <f t="shared" ca="1" si="7"/>
        <v>0.68854373158474869</v>
      </c>
      <c r="AK17" s="78">
        <f t="shared" ca="1" si="7"/>
        <v>0.67895634514691239</v>
      </c>
      <c r="AL17" s="78">
        <f t="shared" ca="1" si="7"/>
        <v>0.66954264570367572</v>
      </c>
      <c r="AM17" s="78">
        <f t="shared" ca="1" si="7"/>
        <v>0.66029839495065101</v>
      </c>
      <c r="AN17" s="78">
        <f t="shared" ca="1" si="7"/>
        <v>0.6512194769877212</v>
      </c>
      <c r="AO17" s="78">
        <f t="shared" ca="1" si="7"/>
        <v>0.64230189489808942</v>
      </c>
      <c r="AP17" s="78">
        <f t="shared" ca="1" si="7"/>
        <v>0.63354176738332058</v>
      </c>
      <c r="AQ17" s="78">
        <f t="shared" ca="1" si="7"/>
        <v>0.62493532545798247</v>
      </c>
      <c r="AR17" s="78">
        <f t="shared" ca="1" si="7"/>
        <v>0.6164789092068852</v>
      </c>
      <c r="AS17" s="78"/>
      <c r="AT17" s="78"/>
      <c r="AU17" s="78"/>
      <c r="AV17" s="78"/>
      <c r="AW17" s="78"/>
      <c r="AX17" s="78"/>
      <c r="AY17" s="88"/>
    </row>
    <row r="18" spans="3:51" x14ac:dyDescent="0.2">
      <c r="C18" s="93"/>
      <c r="D18" s="94"/>
      <c r="E18" s="75">
        <f t="shared" ca="1" si="4"/>
        <v>8</v>
      </c>
      <c r="F18" s="76">
        <f t="shared" ca="1" si="5"/>
        <v>2</v>
      </c>
      <c r="G18" s="77">
        <f t="shared" ca="1" si="6"/>
        <v>6.5963780054478061E-2</v>
      </c>
      <c r="H18" s="78">
        <f t="shared" ca="1" si="0"/>
        <v>0.31267959073991719</v>
      </c>
      <c r="I18" s="90">
        <f t="shared" ca="1" si="1"/>
        <v>0.38308401391736657</v>
      </c>
      <c r="J18" s="80">
        <f t="shared" ca="1" si="2"/>
        <v>-7.0404423177449382E-2</v>
      </c>
      <c r="K18" s="95"/>
      <c r="L18" s="87">
        <f t="shared" ca="1" si="7"/>
        <v>0.98369320335951671</v>
      </c>
      <c r="M18" s="78">
        <f t="shared" ca="1" si="7"/>
        <v>0.96774793784263469</v>
      </c>
      <c r="N18" s="78">
        <f t="shared" ca="1" si="7"/>
        <v>0.9521542579119634</v>
      </c>
      <c r="O18" s="78">
        <f t="shared" ca="1" si="7"/>
        <v>0.93690248627613326</v>
      </c>
      <c r="P18" s="78">
        <f t="shared" ca="1" si="7"/>
        <v>0.92198321060535793</v>
      </c>
      <c r="Q18" s="78">
        <f t="shared" ca="1" si="7"/>
        <v>0.90738727979372535</v>
      </c>
      <c r="R18" s="78">
        <f t="shared" ca="1" si="7"/>
        <v>0.89310579983607796</v>
      </c>
      <c r="S18" s="78">
        <f t="shared" ca="1" si="7"/>
        <v>0.87913012938038992</v>
      </c>
      <c r="T18" s="78">
        <f t="shared" ca="1" si="7"/>
        <v>0.86545187501020826</v>
      </c>
      <c r="U18" s="78">
        <f t="shared" ca="1" si="7"/>
        <v>0.85206288630597227</v>
      </c>
      <c r="V18" s="78">
        <f t="shared" ca="1" si="7"/>
        <v>0.83895525072880017</v>
      </c>
      <c r="W18" s="78">
        <f t="shared" ca="1" si="7"/>
        <v>0.82612128836559195</v>
      </c>
      <c r="X18" s="78">
        <f t="shared" ca="1" si="7"/>
        <v>0.8135535465699979</v>
      </c>
      <c r="Y18" s="78">
        <f t="shared" ca="1" si="7"/>
        <v>0.8012447945299136</v>
      </c>
      <c r="Z18" s="78">
        <f t="shared" ca="1" si="7"/>
        <v>0.78918801778863656</v>
      </c>
      <c r="AA18" s="78">
        <f t="shared" ca="1" si="7"/>
        <v>0.77737641274363867</v>
      </c>
      <c r="AB18" s="78">
        <f t="shared" ca="1" si="7"/>
        <v>0.76580338114403101</v>
      </c>
      <c r="AC18" s="78">
        <f t="shared" ca="1" si="7"/>
        <v>0.75446252460520158</v>
      </c>
      <c r="AD18" s="78">
        <f t="shared" ca="1" si="7"/>
        <v>0.74334763915676605</v>
      </c>
      <c r="AE18" s="78">
        <f t="shared" ca="1" si="7"/>
        <v>0.73245270983786603</v>
      </c>
      <c r="AF18" s="78">
        <f t="shared" ca="1" si="7"/>
        <v>0.72177190535194868</v>
      </c>
      <c r="AG18" s="78">
        <f t="shared" ca="1" si="7"/>
        <v>0.71129957279146538</v>
      </c>
      <c r="AH18" s="78">
        <f t="shared" ca="1" si="7"/>
        <v>0.70103023244138574</v>
      </c>
      <c r="AI18" s="78">
        <f t="shared" ca="1" si="7"/>
        <v>0.69095857266906568</v>
      </c>
      <c r="AJ18" s="78">
        <f t="shared" ca="1" si="7"/>
        <v>0.68107944490676997</v>
      </c>
      <c r="AK18" s="78">
        <f t="shared" ca="1" si="7"/>
        <v>0.67138785873205875</v>
      </c>
      <c r="AL18" s="78">
        <f t="shared" ca="1" si="7"/>
        <v>0.66187897705026744</v>
      </c>
      <c r="AM18" s="78">
        <f t="shared" ca="1" si="7"/>
        <v>0.65254811138243651</v>
      </c>
      <c r="AN18" s="78">
        <f t="shared" ca="1" si="7"/>
        <v>0.64339071726127139</v>
      </c>
      <c r="AO18" s="78">
        <f t="shared" ca="1" si="7"/>
        <v>0.63440238973702934</v>
      </c>
      <c r="AP18" s="78">
        <f t="shared" ca="1" si="7"/>
        <v>0.62557885899461485</v>
      </c>
      <c r="AQ18" s="78">
        <f t="shared" ca="1" si="7"/>
        <v>0.61691598608263343</v>
      </c>
      <c r="AR18" s="78"/>
      <c r="AS18" s="78"/>
      <c r="AT18" s="78"/>
      <c r="AU18" s="78"/>
      <c r="AV18" s="78"/>
      <c r="AW18" s="78"/>
      <c r="AX18" s="78"/>
      <c r="AY18" s="88"/>
    </row>
    <row r="19" spans="3:51" x14ac:dyDescent="0.2">
      <c r="C19" s="93"/>
      <c r="D19" s="94"/>
      <c r="E19" s="75">
        <f t="shared" ca="1" si="4"/>
        <v>9</v>
      </c>
      <c r="F19" s="76">
        <f t="shared" ca="1" si="5"/>
        <v>2.25</v>
      </c>
      <c r="G19" s="77">
        <f t="shared" ca="1" si="6"/>
        <v>5.7213506368911461E-2</v>
      </c>
      <c r="H19" s="78">
        <f t="shared" ca="1" si="0"/>
        <v>0.31289305213251917</v>
      </c>
      <c r="I19" s="90">
        <f t="shared" ca="1" si="1"/>
        <v>0.34419250664153733</v>
      </c>
      <c r="J19" s="80">
        <f t="shared" ca="1" si="2"/>
        <v>-3.1299454509018165E-2</v>
      </c>
      <c r="K19" s="95"/>
      <c r="L19" s="87">
        <f t="shared" ca="1" si="7"/>
        <v>0.98582072097751139</v>
      </c>
      <c r="M19" s="78">
        <f t="shared" ca="1" si="7"/>
        <v>0.97188668399416223</v>
      </c>
      <c r="N19" s="78">
        <f t="shared" ca="1" si="7"/>
        <v>0.95819346082445467</v>
      </c>
      <c r="O19" s="78">
        <f t="shared" ca="1" si="7"/>
        <v>0.94473663265524122</v>
      </c>
      <c r="P19" s="78">
        <f t="shared" ca="1" si="7"/>
        <v>0.93151179864602063</v>
      </c>
      <c r="Q19" s="78">
        <f t="shared" ca="1" si="7"/>
        <v>0.91851458356320292</v>
      </c>
      <c r="R19" s="78">
        <f t="shared" ca="1" si="7"/>
        <v>0.90574064456494419</v>
      </c>
      <c r="S19" s="78">
        <f t="shared" ca="1" si="7"/>
        <v>0.89318567720752651</v>
      </c>
      <c r="T19" s="78">
        <f t="shared" ca="1" si="7"/>
        <v>0.8808454207390034</v>
      </c>
      <c r="U19" s="78">
        <f t="shared" ca="1" si="7"/>
        <v>0.86871566274092082</v>
      </c>
      <c r="V19" s="78">
        <f t="shared" ref="V19:AP19" ca="1" si="8">V$50*EXP(-V$51*$G19)</f>
        <v>0.85679224317433589</v>
      </c>
      <c r="W19" s="78">
        <f t="shared" ca="1" si="8"/>
        <v>0.84507105788208692</v>
      </c>
      <c r="X19" s="78">
        <f t="shared" ca="1" si="8"/>
        <v>0.83354806159528461</v>
      </c>
      <c r="Y19" s="78">
        <f t="shared" ca="1" si="8"/>
        <v>0.82221927048829402</v>
      </c>
      <c r="Z19" s="78">
        <f t="shared" ca="1" si="8"/>
        <v>0.81108076432302856</v>
      </c>
      <c r="AA19" s="78">
        <f t="shared" ca="1" si="8"/>
        <v>0.80012868822018113</v>
      </c>
      <c r="AB19" s="78">
        <f t="shared" ca="1" si="8"/>
        <v>0.78935925409204555</v>
      </c>
      <c r="AC19" s="78">
        <f t="shared" ca="1" si="8"/>
        <v>0.7787687417688266</v>
      </c>
      <c r="AD19" s="78">
        <f t="shared" ca="1" si="8"/>
        <v>0.76835349984777868</v>
      </c>
      <c r="AE19" s="78">
        <f t="shared" ca="1" si="8"/>
        <v>0.75810994629215023</v>
      </c>
      <c r="AF19" s="78">
        <f t="shared" ca="1" si="8"/>
        <v>0.74803456880471442</v>
      </c>
      <c r="AG19" s="78">
        <f t="shared" ca="1" si="8"/>
        <v>0.73812392499864143</v>
      </c>
      <c r="AH19" s="78">
        <f t="shared" ca="1" si="8"/>
        <v>0.728374642386586</v>
      </c>
      <c r="AI19" s="78">
        <f t="shared" ca="1" si="8"/>
        <v>0.71878341820713532</v>
      </c>
      <c r="AJ19" s="78">
        <f t="shared" ca="1" si="8"/>
        <v>0.70934701910615294</v>
      </c>
      <c r="AK19" s="78">
        <f t="shared" ca="1" si="8"/>
        <v>0.70006228068907805</v>
      </c>
      <c r="AL19" s="78">
        <f t="shared" ca="1" si="8"/>
        <v>0.69092610695887025</v>
      </c>
      <c r="AM19" s="78">
        <f t="shared" ca="1" si="8"/>
        <v>0.68193546965303065</v>
      </c>
      <c r="AN19" s="78">
        <f t="shared" ca="1" si="8"/>
        <v>0.67308740749196561</v>
      </c>
      <c r="AO19" s="78">
        <f t="shared" ca="1" si="8"/>
        <v>0.66437902534988802</v>
      </c>
      <c r="AP19" s="78">
        <f t="shared" ca="1" si="8"/>
        <v>0.65580749335846267</v>
      </c>
      <c r="AQ19" s="78"/>
      <c r="AR19" s="78"/>
      <c r="AS19" s="78"/>
      <c r="AT19" s="78"/>
      <c r="AU19" s="78"/>
      <c r="AV19" s="78"/>
      <c r="AW19" s="78"/>
      <c r="AX19" s="78"/>
      <c r="AY19" s="88"/>
    </row>
    <row r="20" spans="3:51" x14ac:dyDescent="0.2">
      <c r="C20" s="93"/>
      <c r="D20" s="94"/>
      <c r="E20" s="75">
        <f t="shared" ca="1" si="4"/>
        <v>10</v>
      </c>
      <c r="F20" s="76">
        <f t="shared" ca="1" si="5"/>
        <v>2.5</v>
      </c>
      <c r="G20" s="77">
        <f t="shared" ca="1" si="6"/>
        <v>5.4369933223934373E-2</v>
      </c>
      <c r="H20" s="78">
        <f t="shared" ca="1" si="0"/>
        <v>0.30720054643212635</v>
      </c>
      <c r="I20" s="90">
        <f t="shared" ca="1" si="1"/>
        <v>0.32557771458789919</v>
      </c>
      <c r="J20" s="80">
        <f t="shared" ca="1" si="2"/>
        <v>-1.8377168155772838E-2</v>
      </c>
      <c r="K20" s="95"/>
      <c r="L20" s="87">
        <f t="shared" ref="L20:AO29" ca="1" si="9">L$50*EXP(-L$51*$G20)</f>
        <v>0.98651308971117324</v>
      </c>
      <c r="M20" s="78">
        <f t="shared" ca="1" si="9"/>
        <v>0.97323545771809095</v>
      </c>
      <c r="N20" s="78">
        <f t="shared" ca="1" si="9"/>
        <v>0.96016425310129694</v>
      </c>
      <c r="O20" s="78">
        <f t="shared" ca="1" si="9"/>
        <v>0.94729656868790757</v>
      </c>
      <c r="P20" s="78">
        <f t="shared" ca="1" si="9"/>
        <v>0.93462945205064318</v>
      </c>
      <c r="Q20" s="78">
        <f t="shared" ca="1" si="9"/>
        <v>0.92215991552862697</v>
      </c>
      <c r="R20" s="78">
        <f t="shared" ca="1" si="9"/>
        <v>0.90988494534256092</v>
      </c>
      <c r="S20" s="78">
        <f t="shared" ca="1" si="9"/>
        <v>0.89780150987210261</v>
      </c>
      <c r="T20" s="78">
        <f t="shared" ca="1" si="9"/>
        <v>0.88590656715875737</v>
      </c>
      <c r="U20" s="78">
        <f t="shared" ca="1" si="9"/>
        <v>0.87419707169331984</v>
      </c>
      <c r="V20" s="78">
        <f t="shared" ca="1" si="9"/>
        <v>0.86266998054289079</v>
      </c>
      <c r="W20" s="78">
        <f t="shared" ca="1" si="9"/>
        <v>0.85132225886870339</v>
      </c>
      <c r="X20" s="78">
        <f t="shared" ca="1" si="9"/>
        <v>0.8401508848824405</v>
      </c>
      <c r="Y20" s="78">
        <f t="shared" ca="1" si="9"/>
        <v>0.82915285428538144</v>
      </c>
      <c r="Z20" s="78">
        <f t="shared" ca="1" si="9"/>
        <v>0.81832518423158906</v>
      </c>
      <c r="AA20" s="78">
        <f t="shared" ca="1" si="9"/>
        <v>0.80766491685340969</v>
      </c>
      <c r="AB20" s="78">
        <f t="shared" ca="1" si="9"/>
        <v>0.79716912238481608</v>
      </c>
      <c r="AC20" s="78">
        <f t="shared" ca="1" si="9"/>
        <v>0.78683490191555339</v>
      </c>
      <c r="AD20" s="78">
        <f t="shared" ca="1" si="9"/>
        <v>0.77665938980664817</v>
      </c>
      <c r="AE20" s="78">
        <f t="shared" ca="1" si="9"/>
        <v>0.7666397557956024</v>
      </c>
      <c r="AF20" s="78">
        <f t="shared" ca="1" si="9"/>
        <v>0.7567732068175006</v>
      </c>
      <c r="AG20" s="78">
        <f t="shared" ca="1" si="9"/>
        <v>0.74705698856631342</v>
      </c>
      <c r="AH20" s="78">
        <f t="shared" ca="1" si="9"/>
        <v>0.73748838681886075</v>
      </c>
      <c r="AI20" s="78">
        <f t="shared" ca="1" si="9"/>
        <v>0.72806472854221094</v>
      </c>
      <c r="AJ20" s="78">
        <f t="shared" ca="1" si="9"/>
        <v>0.71878338280371401</v>
      </c>
      <c r="AK20" s="78">
        <f t="shared" ca="1" si="9"/>
        <v>0.70964176150140867</v>
      </c>
      <c r="AL20" s="78">
        <f t="shared" ca="1" si="9"/>
        <v>0.70063731993117673</v>
      </c>
      <c r="AM20" s="78">
        <f t="shared" ca="1" si="9"/>
        <v>0.69176755720575689</v>
      </c>
      <c r="AN20" s="78">
        <f t="shared" ca="1" si="9"/>
        <v>0.68303001653955553</v>
      </c>
      <c r="AO20" s="78">
        <f t="shared" ca="1" si="9"/>
        <v>0.67442228541210081</v>
      </c>
      <c r="AP20" s="78"/>
      <c r="AQ20" s="78"/>
      <c r="AR20" s="78"/>
      <c r="AS20" s="78"/>
      <c r="AT20" s="78"/>
      <c r="AU20" s="78"/>
      <c r="AV20" s="78"/>
      <c r="AW20" s="78"/>
      <c r="AX20" s="78"/>
      <c r="AY20" s="88"/>
    </row>
    <row r="21" spans="3:51" x14ac:dyDescent="0.2">
      <c r="C21" s="93"/>
      <c r="D21" s="94"/>
      <c r="E21" s="75">
        <f t="shared" ca="1" si="4"/>
        <v>11</v>
      </c>
      <c r="F21" s="76">
        <f t="shared" ca="1" si="5"/>
        <v>2.75</v>
      </c>
      <c r="G21" s="77">
        <f t="shared" ca="1" si="6"/>
        <v>5.9233953628773123E-2</v>
      </c>
      <c r="H21" s="78">
        <f t="shared" ca="1" si="0"/>
        <v>0.29471464092686789</v>
      </c>
      <c r="I21" s="90">
        <f t="shared" ca="1" si="1"/>
        <v>0.33388904983976819</v>
      </c>
      <c r="J21" s="80">
        <f t="shared" ca="1" si="2"/>
        <v>-3.9174408912900305E-2</v>
      </c>
      <c r="K21" s="95"/>
      <c r="L21" s="87">
        <f t="shared" ca="1" si="9"/>
        <v>0.98532906674899223</v>
      </c>
      <c r="M21" s="78">
        <f t="shared" ca="1" si="9"/>
        <v>0.97092947432967602</v>
      </c>
      <c r="N21" s="78">
        <f t="shared" ca="1" si="9"/>
        <v>0.95679561025167292</v>
      </c>
      <c r="O21" s="78">
        <f t="shared" ca="1" si="9"/>
        <v>0.94292192343102821</v>
      </c>
      <c r="P21" s="78">
        <f t="shared" ca="1" si="9"/>
        <v>0.92930293061983071</v>
      </c>
      <c r="Q21" s="78">
        <f t="shared" ca="1" si="9"/>
        <v>0.91593322197450588</v>
      </c>
      <c r="R21" s="78">
        <f t="shared" ca="1" si="9"/>
        <v>0.90280746584045379</v>
      </c>
      <c r="S21" s="78">
        <f t="shared" ca="1" si="9"/>
        <v>0.88992041282458512</v>
      </c>
      <c r="T21" s="78">
        <f t="shared" ca="1" si="9"/>
        <v>0.87726689922161827</v>
      </c>
      <c r="U21" s="78">
        <f t="shared" ca="1" si="9"/>
        <v>0.86484184985471013</v>
      </c>
      <c r="V21" s="78">
        <f t="shared" ca="1" si="9"/>
        <v>0.85264028038610529</v>
      </c>
      <c r="W21" s="78">
        <f t="shared" ca="1" si="9"/>
        <v>0.84065729914894238</v>
      </c>
      <c r="X21" s="78">
        <f t="shared" ca="1" si="9"/>
        <v>0.82888810854715533</v>
      </c>
      <c r="Y21" s="78">
        <f t="shared" ca="1" si="9"/>
        <v>0.81732800606652212</v>
      </c>
      <c r="Z21" s="78">
        <f t="shared" ca="1" si="9"/>
        <v>0.80597238493631673</v>
      </c>
      <c r="AA21" s="78">
        <f t="shared" ca="1" si="9"/>
        <v>0.79481673447770262</v>
      </c>
      <c r="AB21" s="78">
        <f t="shared" ca="1" si="9"/>
        <v>0.78385664017193668</v>
      </c>
      <c r="AC21" s="78">
        <f t="shared" ca="1" si="9"/>
        <v>0.77308778347863161</v>
      </c>
      <c r="AD21" s="78">
        <f t="shared" ca="1" si="9"/>
        <v>0.76250594143170924</v>
      </c>
      <c r="AE21" s="78">
        <f t="shared" ca="1" si="9"/>
        <v>0.75210698603828086</v>
      </c>
      <c r="AF21" s="78">
        <f t="shared" ca="1" si="9"/>
        <v>0.74188688350347343</v>
      </c>
      <c r="AG21" s="78">
        <f t="shared" ca="1" si="9"/>
        <v>0.7318416933021854</v>
      </c>
      <c r="AH21" s="78">
        <f t="shared" ca="1" si="9"/>
        <v>0.72196756711688226</v>
      </c>
      <c r="AI21" s="78">
        <f t="shared" ca="1" si="9"/>
        <v>0.71226074765881653</v>
      </c>
      <c r="AJ21" s="78">
        <f t="shared" ca="1" si="9"/>
        <v>0.70271756738847513</v>
      </c>
      <c r="AK21" s="78">
        <f t="shared" ca="1" si="9"/>
        <v>0.69333444714960346</v>
      </c>
      <c r="AL21" s="78">
        <f t="shared" ca="1" si="9"/>
        <v>0.68410789472981459</v>
      </c>
      <c r="AM21" s="78">
        <f t="shared" ca="1" si="9"/>
        <v>0.67503450335957571</v>
      </c>
      <c r="AN21" s="78">
        <f t="shared" ca="1" si="9"/>
        <v>0.66611095016023181</v>
      </c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88"/>
    </row>
    <row r="22" spans="3:51" x14ac:dyDescent="0.2">
      <c r="C22" s="93"/>
      <c r="D22" s="94"/>
      <c r="E22" s="75">
        <f t="shared" ca="1" si="4"/>
        <v>12</v>
      </c>
      <c r="F22" s="76">
        <f t="shared" ca="1" si="5"/>
        <v>3</v>
      </c>
      <c r="G22" s="77">
        <f t="shared" ca="1" si="6"/>
        <v>5.666004365461165E-2</v>
      </c>
      <c r="H22" s="78">
        <f t="shared" ca="1" si="0"/>
        <v>0.28841432959287311</v>
      </c>
      <c r="I22" s="90">
        <f t="shared" ca="1" si="1"/>
        <v>0.31616186373449562</v>
      </c>
      <c r="J22" s="80">
        <f t="shared" ca="1" si="2"/>
        <v>-2.774753414162251E-2</v>
      </c>
      <c r="K22" s="95"/>
      <c r="L22" s="87">
        <f t="shared" ca="1" si="9"/>
        <v>0.9859554430086741</v>
      </c>
      <c r="M22" s="78">
        <f t="shared" ca="1" si="9"/>
        <v>0.97214905781271932</v>
      </c>
      <c r="N22" s="78">
        <f t="shared" ca="1" si="9"/>
        <v>0.95857673134585186</v>
      </c>
      <c r="O22" s="78">
        <f t="shared" ca="1" si="9"/>
        <v>0.94523434649288152</v>
      </c>
      <c r="P22" s="78">
        <f t="shared" ca="1" si="9"/>
        <v>0.93211779117489901</v>
      </c>
      <c r="Q22" s="78">
        <f t="shared" ca="1" si="9"/>
        <v>0.91922296649483637</v>
      </c>
      <c r="R22" s="78">
        <f t="shared" ca="1" si="9"/>
        <v>0.90654579401943769</v>
      </c>
      <c r="S22" s="78">
        <f t="shared" ca="1" si="9"/>
        <v>0.89408222226820455</v>
      </c>
      <c r="T22" s="78">
        <f t="shared" ca="1" si="9"/>
        <v>0.88182823247476183</v>
      </c>
      <c r="U22" s="78">
        <f t="shared" ca="1" si="9"/>
        <v>0.86977984368128902</v>
      </c>
      <c r="V22" s="78">
        <f t="shared" ca="1" si="9"/>
        <v>0.85793311722217924</v>
      </c>
      <c r="W22" s="78">
        <f t="shared" ca="1" si="9"/>
        <v>0.84628416064890166</v>
      </c>
      <c r="X22" s="78">
        <f t="shared" ca="1" si="9"/>
        <v>0.83482913114413448</v>
      </c>
      <c r="Y22" s="78">
        <f t="shared" ca="1" si="9"/>
        <v>0.82356423846959381</v>
      </c>
      <c r="Z22" s="78">
        <f t="shared" ca="1" si="9"/>
        <v>0.81248574748859292</v>
      </c>
      <c r="AA22" s="78">
        <f t="shared" ca="1" si="9"/>
        <v>0.80158998030121009</v>
      </c>
      <c r="AB22" s="78">
        <f t="shared" ca="1" si="9"/>
        <v>0.79087331802700522</v>
      </c>
      <c r="AC22" s="78">
        <f t="shared" ca="1" si="9"/>
        <v>0.78033220226750621</v>
      </c>
      <c r="AD22" s="78">
        <f t="shared" ca="1" si="9"/>
        <v>0.76996313627814339</v>
      </c>
      <c r="AE22" s="78">
        <f t="shared" ca="1" si="9"/>
        <v>0.75976268587697171</v>
      </c>
      <c r="AF22" s="78">
        <f t="shared" ca="1" si="9"/>
        <v>0.74972748011533408</v>
      </c>
      <c r="AG22" s="78">
        <f t="shared" ca="1" si="9"/>
        <v>0.73985421173360166</v>
      </c>
      <c r="AH22" s="78">
        <f t="shared" ca="1" si="9"/>
        <v>0.7301396374232586</v>
      </c>
      <c r="AI22" s="78">
        <f t="shared" ca="1" si="9"/>
        <v>0.72058057791486518</v>
      </c>
      <c r="AJ22" s="78">
        <f t="shared" ca="1" si="9"/>
        <v>0.7111739179098292</v>
      </c>
      <c r="AK22" s="78">
        <f t="shared" ca="1" si="9"/>
        <v>0.70191660587243754</v>
      </c>
      <c r="AL22" s="78">
        <f t="shared" ca="1" si="9"/>
        <v>0.69280565369722658</v>
      </c>
      <c r="AM22" s="78">
        <f t="shared" ca="1" si="9"/>
        <v>0.68383813626550438</v>
      </c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88"/>
    </row>
    <row r="23" spans="3:51" x14ac:dyDescent="0.2">
      <c r="C23" s="93"/>
      <c r="D23" s="94"/>
      <c r="E23" s="75">
        <f t="shared" ca="1" si="4"/>
        <v>13</v>
      </c>
      <c r="F23" s="76">
        <f t="shared" ca="1" si="5"/>
        <v>3.25</v>
      </c>
      <c r="G23" s="77">
        <f t="shared" ca="1" si="6"/>
        <v>5.5767155789535991E-2</v>
      </c>
      <c r="H23" s="78">
        <f t="shared" ca="1" si="0"/>
        <v>0.28053495526185906</v>
      </c>
      <c r="I23" s="90">
        <f t="shared" ca="1" si="1"/>
        <v>0.30415133550577966</v>
      </c>
      <c r="J23" s="80">
        <f t="shared" ca="1" si="2"/>
        <v>-2.3616380243920598E-2</v>
      </c>
      <c r="K23" s="95"/>
      <c r="L23" s="87">
        <f t="shared" ca="1" si="9"/>
        <v>0.98617282557869079</v>
      </c>
      <c r="M23" s="78">
        <f t="shared" ca="1" si="9"/>
        <v>0.97257248839759824</v>
      </c>
      <c r="N23" s="78">
        <f t="shared" ca="1" si="9"/>
        <v>0.95919537549648426</v>
      </c>
      <c r="O23" s="78">
        <f t="shared" ca="1" si="9"/>
        <v>0.94603784884703634</v>
      </c>
      <c r="P23" s="78">
        <f t="shared" ca="1" si="9"/>
        <v>0.93309625523307682</v>
      </c>
      <c r="Q23" s="78">
        <f t="shared" ca="1" si="9"/>
        <v>0.92036693517278012</v>
      </c>
      <c r="R23" s="78">
        <f t="shared" ca="1" si="9"/>
        <v>0.90784623095780181</v>
      </c>
      <c r="S23" s="78">
        <f t="shared" ca="1" si="9"/>
        <v>0.89553049387900796</v>
      </c>
      <c r="T23" s="78">
        <f t="shared" ca="1" si="9"/>
        <v>0.88341609070360394</v>
      </c>
      <c r="U23" s="78">
        <f t="shared" ca="1" si="9"/>
        <v>0.87149940946385218</v>
      </c>
      <c r="V23" s="78">
        <f t="shared" ca="1" si="9"/>
        <v>0.85977686461326575</v>
      </c>
      <c r="W23" s="78">
        <f t="shared" ca="1" si="9"/>
        <v>0.84824490160211619</v>
      </c>
      <c r="X23" s="78">
        <f t="shared" ca="1" si="9"/>
        <v>0.83690000092032268</v>
      </c>
      <c r="Y23" s="78">
        <f t="shared" ca="1" si="9"/>
        <v>0.82573868165224928</v>
      </c>
      <c r="Z23" s="78">
        <f t="shared" ca="1" si="9"/>
        <v>0.81475750458464669</v>
      </c>
      <c r="AA23" s="78">
        <f t="shared" ca="1" si="9"/>
        <v>0.80395307490588852</v>
      </c>
      <c r="AB23" s="78">
        <f t="shared" ca="1" si="9"/>
        <v>0.79332204453179378</v>
      </c>
      <c r="AC23" s="78">
        <f t="shared" ca="1" si="9"/>
        <v>0.78286111409064474</v>
      </c>
      <c r="AD23" s="78">
        <f t="shared" ca="1" si="9"/>
        <v>0.77256703459752996</v>
      </c>
      <c r="AE23" s="78">
        <f t="shared" ca="1" si="9"/>
        <v>0.76243660884582587</v>
      </c>
      <c r="AF23" s="78">
        <f t="shared" ca="1" si="9"/>
        <v>0.75246669254147891</v>
      </c>
      <c r="AG23" s="78">
        <f t="shared" ca="1" si="9"/>
        <v>0.7426541952037552</v>
      </c>
      <c r="AH23" s="78">
        <f t="shared" ca="1" si="9"/>
        <v>0.73299608085426926</v>
      </c>
      <c r="AI23" s="78">
        <f t="shared" ca="1" si="9"/>
        <v>0.72348936851437884</v>
      </c>
      <c r="AJ23" s="78">
        <f t="shared" ca="1" si="9"/>
        <v>0.71413113252944393</v>
      </c>
      <c r="AK23" s="78">
        <f t="shared" ca="1" si="9"/>
        <v>0.70491850273696111</v>
      </c>
      <c r="AL23" s="78">
        <f t="shared" ca="1" si="9"/>
        <v>0.69584866449422034</v>
      </c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88"/>
    </row>
    <row r="24" spans="3:51" x14ac:dyDescent="0.2">
      <c r="C24" s="93"/>
      <c r="D24" s="94"/>
      <c r="E24" s="75">
        <f t="shared" ca="1" si="4"/>
        <v>14</v>
      </c>
      <c r="F24" s="76">
        <f t="shared" ca="1" si="5"/>
        <v>3.5</v>
      </c>
      <c r="G24" s="77">
        <f t="shared" ca="1" si="6"/>
        <v>5.3896471772662199E-2</v>
      </c>
      <c r="H24" s="78">
        <f t="shared" ca="1" si="0"/>
        <v>0.27316400920270983</v>
      </c>
      <c r="I24" s="90">
        <f t="shared" ca="1" si="1"/>
        <v>0.28875055122060345</v>
      </c>
      <c r="J24" s="80">
        <f t="shared" ca="1" si="2"/>
        <v>-1.5586542017893612E-2</v>
      </c>
      <c r="K24" s="95"/>
      <c r="L24" s="87">
        <f t="shared" ca="1" si="9"/>
        <v>0.98662841790719591</v>
      </c>
      <c r="M24" s="78">
        <f t="shared" ca="1" si="9"/>
        <v>0.97346021334369093</v>
      </c>
      <c r="N24" s="78">
        <f t="shared" ca="1" si="9"/>
        <v>0.96049278795591608</v>
      </c>
      <c r="O24" s="78">
        <f t="shared" ca="1" si="9"/>
        <v>0.94772347703576687</v>
      </c>
      <c r="P24" s="78">
        <f t="shared" ca="1" si="9"/>
        <v>0.93514956086489187</v>
      </c>
      <c r="Q24" s="78">
        <f t="shared" ca="1" si="9"/>
        <v>0.92276827507615267</v>
      </c>
      <c r="R24" s="78">
        <f t="shared" ca="1" si="9"/>
        <v>0.91057682010394991</v>
      </c>
      <c r="S24" s="78">
        <f t="shared" ca="1" si="9"/>
        <v>0.89857236979048238</v>
      </c>
      <c r="T24" s="78">
        <f t="shared" ca="1" si="9"/>
        <v>0.8867520792106226</v>
      </c>
      <c r="U24" s="78">
        <f t="shared" ca="1" si="9"/>
        <v>0.87511309177393881</v>
      </c>
      <c r="V24" s="78">
        <f t="shared" ca="1" si="9"/>
        <v>0.86365254565848582</v>
      </c>
      <c r="W24" s="78">
        <f t="shared" ca="1" si="9"/>
        <v>0.85236757962728771</v>
      </c>
      <c r="X24" s="78">
        <f t="shared" ca="1" si="9"/>
        <v>0.84125533827496624</v>
      </c>
      <c r="Y24" s="78">
        <f t="shared" ca="1" si="9"/>
        <v>0.83031297674869464</v>
      </c>
      <c r="Z24" s="78">
        <f t="shared" ca="1" si="9"/>
        <v>0.81953766498459157</v>
      </c>
      <c r="AA24" s="78">
        <f t="shared" ca="1" si="9"/>
        <v>0.8089265914977849</v>
      </c>
      <c r="AB24" s="78">
        <f t="shared" ca="1" si="9"/>
        <v>0.79847696676167934</v>
      </c>
      <c r="AC24" s="78">
        <f t="shared" ca="1" si="9"/>
        <v>0.78818602620943357</v>
      </c>
      <c r="AD24" s="78">
        <f t="shared" ca="1" si="9"/>
        <v>0.77805103288828048</v>
      </c>
      <c r="AE24" s="78">
        <f t="shared" ca="1" si="9"/>
        <v>0.76806927979512407</v>
      </c>
      <c r="AF24" s="78">
        <f t="shared" ca="1" si="9"/>
        <v>0.75823809191976987</v>
      </c>
      <c r="AG24" s="78">
        <f t="shared" ca="1" si="9"/>
        <v>0.74855482802022399</v>
      </c>
      <c r="AH24" s="78">
        <f t="shared" ca="1" si="9"/>
        <v>0.73901688215269368</v>
      </c>
      <c r="AI24" s="78">
        <f t="shared" ca="1" si="9"/>
        <v>0.72962168497724489</v>
      </c>
      <c r="AJ24" s="78">
        <f t="shared" ca="1" si="9"/>
        <v>0.72036670485851206</v>
      </c>
      <c r="AK24" s="78">
        <f t="shared" ca="1" si="9"/>
        <v>0.71124944877939655</v>
      </c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88"/>
    </row>
    <row r="25" spans="3:51" x14ac:dyDescent="0.2">
      <c r="C25" s="93"/>
      <c r="D25" s="94"/>
      <c r="E25" s="75">
        <f t="shared" ca="1" si="4"/>
        <v>15</v>
      </c>
      <c r="F25" s="76">
        <f t="shared" ca="1" si="5"/>
        <v>3.75</v>
      </c>
      <c r="G25" s="77">
        <f t="shared" ca="1" si="6"/>
        <v>5.4515301343504526E-2</v>
      </c>
      <c r="H25" s="78">
        <f t="shared" ca="1" si="0"/>
        <v>0.26385970580819723</v>
      </c>
      <c r="I25" s="90">
        <f t="shared" ca="1" si="1"/>
        <v>0.28170205011871829</v>
      </c>
      <c r="J25" s="80">
        <f t="shared" ca="1" si="2"/>
        <v>-1.7842344310521063E-2</v>
      </c>
      <c r="K25" s="95"/>
      <c r="L25" s="87">
        <f t="shared" ca="1" si="9"/>
        <v>0.98647768289563909</v>
      </c>
      <c r="M25" s="78">
        <f t="shared" ca="1" si="9"/>
        <v>0.97316646081767999</v>
      </c>
      <c r="N25" s="78">
        <f t="shared" ca="1" si="9"/>
        <v>0.96006340472725216</v>
      </c>
      <c r="O25" s="78">
        <f t="shared" ca="1" si="9"/>
        <v>0.94716553248051905</v>
      </c>
      <c r="P25" s="78">
        <f t="shared" ca="1" si="9"/>
        <v>0.93446981971830123</v>
      </c>
      <c r="Q25" s="78">
        <f t="shared" ca="1" si="9"/>
        <v>0.92197320977910413</v>
      </c>
      <c r="R25" s="78">
        <f t="shared" ca="1" si="9"/>
        <v>0.90967262270842608</v>
      </c>
      <c r="S25" s="78">
        <f t="shared" ca="1" si="9"/>
        <v>0.89756496343239378</v>
      </c>
      <c r="T25" s="78">
        <f t="shared" ca="1" si="9"/>
        <v>0.88564712915921617</v>
      </c>
      <c r="U25" s="78">
        <f t="shared" ca="1" si="9"/>
        <v>0.87391601606763736</v>
      </c>
      <c r="V25" s="78">
        <f t="shared" ca="1" si="9"/>
        <v>0.86236852533752717</v>
      </c>
      <c r="W25" s="78">
        <f t="shared" ca="1" si="9"/>
        <v>0.85100156857392717</v>
      </c>
      <c r="X25" s="78">
        <f t="shared" ca="1" si="9"/>
        <v>0.83981207267229563</v>
      </c>
      <c r="Y25" s="78">
        <f t="shared" ca="1" si="9"/>
        <v>0.82879698416932723</v>
      </c>
      <c r="Z25" s="78">
        <f t="shared" ca="1" si="9"/>
        <v>0.81795327312058119</v>
      </c>
      <c r="AA25" s="78">
        <f t="shared" ca="1" si="9"/>
        <v>0.80727793654319369</v>
      </c>
      <c r="AB25" s="78">
        <f t="shared" ca="1" si="9"/>
        <v>0.79676800145919691</v>
      </c>
      <c r="AC25" s="78">
        <f t="shared" ca="1" si="9"/>
        <v>0.78642052757238212</v>
      </c>
      <c r="AD25" s="78">
        <f t="shared" ca="1" si="9"/>
        <v>0.77623260960923879</v>
      </c>
      <c r="AE25" s="78">
        <f t="shared" ca="1" si="9"/>
        <v>0.76620137935224897</v>
      </c>
      <c r="AF25" s="78">
        <f t="shared" ca="1" si="9"/>
        <v>0.75632400739172245</v>
      </c>
      <c r="AG25" s="78">
        <f t="shared" ca="1" si="9"/>
        <v>0.74659770462039932</v>
      </c>
      <c r="AH25" s="78">
        <f t="shared" ca="1" si="9"/>
        <v>0.73701972349323186</v>
      </c>
      <c r="AI25" s="78">
        <f t="shared" ca="1" si="9"/>
        <v>0.72758735907305438</v>
      </c>
      <c r="AJ25" s="78">
        <f t="shared" ca="1" si="9"/>
        <v>0.71829794988128171</v>
      </c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88"/>
    </row>
    <row r="26" spans="3:51" x14ac:dyDescent="0.2">
      <c r="C26" s="93"/>
      <c r="D26" s="94"/>
      <c r="E26" s="75">
        <f t="shared" ca="1" si="4"/>
        <v>16</v>
      </c>
      <c r="F26" s="76">
        <f t="shared" ca="1" si="5"/>
        <v>4</v>
      </c>
      <c r="G26" s="77">
        <f t="shared" ca="1" si="6"/>
        <v>4.1481422887367184E-2</v>
      </c>
      <c r="H26" s="78">
        <f t="shared" ca="1" si="0"/>
        <v>0.26321053894259611</v>
      </c>
      <c r="I26" s="90">
        <f t="shared" ca="1" si="1"/>
        <v>0.22834202368322709</v>
      </c>
      <c r="J26" s="80">
        <f t="shared" ca="1" si="2"/>
        <v>3.4868515259369015E-2</v>
      </c>
      <c r="K26" s="95"/>
      <c r="L26" s="87">
        <f t="shared" ca="1" si="9"/>
        <v>0.98965735657948573</v>
      </c>
      <c r="M26" s="78">
        <f t="shared" ca="1" si="9"/>
        <v>0.97937228904792284</v>
      </c>
      <c r="N26" s="78">
        <f t="shared" ca="1" si="9"/>
        <v>0.96914782558656787</v>
      </c>
      <c r="O26" s="78">
        <f t="shared" ca="1" si="9"/>
        <v>0.9589867419188759</v>
      </c>
      <c r="P26" s="78">
        <f t="shared" ca="1" si="9"/>
        <v>0.94889157631728205</v>
      </c>
      <c r="Q26" s="78">
        <f t="shared" ca="1" si="9"/>
        <v>0.93886464383530066</v>
      </c>
      <c r="R26" s="78">
        <f t="shared" ca="1" si="9"/>
        <v>0.92890804979617769</v>
      </c>
      <c r="S26" s="78">
        <f t="shared" ca="1" si="9"/>
        <v>0.91902370256908184</v>
      </c>
      <c r="T26" s="78">
        <f t="shared" ca="1" si="9"/>
        <v>0.9092133256634134</v>
      </c>
      <c r="U26" s="78">
        <f t="shared" ca="1" si="9"/>
        <v>0.89947846917128216</v>
      </c>
      <c r="V26" s="78">
        <f t="shared" ca="1" si="9"/>
        <v>0.88982052058757732</v>
      </c>
      <c r="W26" s="78">
        <f t="shared" ca="1" si="9"/>
        <v>0.88024071503633894</v>
      </c>
      <c r="X26" s="78">
        <f t="shared" ca="1" si="9"/>
        <v>0.87074014493136465</v>
      </c>
      <c r="Y26" s="78">
        <f t="shared" ca="1" si="9"/>
        <v>0.86131976909815455</v>
      </c>
      <c r="Z26" s="78">
        <f t="shared" ca="1" si="9"/>
        <v>0.85198042138343211</v>
      </c>
      <c r="AA26" s="78">
        <f t="shared" ca="1" si="9"/>
        <v>0.8427228187775806</v>
      </c>
      <c r="AB26" s="78">
        <f t="shared" ca="1" si="9"/>
        <v>0.8335475690744274</v>
      </c>
      <c r="AC26" s="78">
        <f t="shared" ca="1" si="9"/>
        <v>0.82445517809188285</v>
      </c>
      <c r="AD26" s="78">
        <f t="shared" ca="1" si="9"/>
        <v>0.81544605647601942</v>
      </c>
      <c r="AE26" s="78">
        <f t="shared" ca="1" si="9"/>
        <v>0.80652052611025493</v>
      </c>
      <c r="AF26" s="78">
        <f t="shared" ca="1" si="9"/>
        <v>0.79767882615039265</v>
      </c>
      <c r="AG26" s="78">
        <f t="shared" ca="1" si="9"/>
        <v>0.78892111870537507</v>
      </c>
      <c r="AH26" s="78">
        <f t="shared" ca="1" si="9"/>
        <v>0.78024749418272321</v>
      </c>
      <c r="AI26" s="78">
        <f t="shared" ca="1" si="9"/>
        <v>0.77165797631677291</v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88"/>
    </row>
    <row r="27" spans="3:51" x14ac:dyDescent="0.2">
      <c r="C27" s="93"/>
      <c r="D27" s="94"/>
      <c r="E27" s="75">
        <f t="shared" ca="1" si="4"/>
        <v>17</v>
      </c>
      <c r="F27" s="76">
        <f t="shared" ca="1" si="5"/>
        <v>4.25</v>
      </c>
      <c r="G27" s="77">
        <f t="shared" ca="1" si="6"/>
        <v>4.1106661063484963E-2</v>
      </c>
      <c r="H27" s="78">
        <f t="shared" ca="1" si="0"/>
        <v>0.25379306789587747</v>
      </c>
      <c r="I27" s="90">
        <f t="shared" ca="1" si="1"/>
        <v>0.21847277602279858</v>
      </c>
      <c r="J27" s="80">
        <f t="shared" ca="1" si="2"/>
        <v>3.5320291873078891E-2</v>
      </c>
      <c r="K27" s="95"/>
      <c r="L27" s="87">
        <f t="shared" ca="1" si="9"/>
        <v>0.98974893284545107</v>
      </c>
      <c r="M27" s="78">
        <f t="shared" ca="1" si="9"/>
        <v>0.97955130870681628</v>
      </c>
      <c r="N27" s="78">
        <f t="shared" ca="1" si="9"/>
        <v>0.96941029649568056</v>
      </c>
      <c r="O27" s="78">
        <f t="shared" ca="1" si="9"/>
        <v>0.9593288092569171</v>
      </c>
      <c r="P27" s="78">
        <f t="shared" ca="1" si="9"/>
        <v>0.94930951914409178</v>
      </c>
      <c r="Q27" s="78">
        <f t="shared" ca="1" si="9"/>
        <v>0.93935487163422837</v>
      </c>
      <c r="R27" s="78">
        <f t="shared" ca="1" si="9"/>
        <v>0.92946709901165347</v>
      </c>
      <c r="S27" s="78">
        <f t="shared" ca="1" si="9"/>
        <v>0.91964823315051125</v>
      </c>
      <c r="T27" s="78">
        <f t="shared" ca="1" si="9"/>
        <v>0.9099001176252558</v>
      </c>
      <c r="U27" s="78">
        <f t="shared" ca="1" si="9"/>
        <v>0.90022441917800666</v>
      </c>
      <c r="V27" s="78">
        <f t="shared" ca="1" si="9"/>
        <v>0.89062263857112856</v>
      </c>
      <c r="W27" s="78">
        <f t="shared" ca="1" si="9"/>
        <v>0.88109612085277877</v>
      </c>
      <c r="X27" s="78">
        <f t="shared" ca="1" si="9"/>
        <v>0.87164606506247522</v>
      </c>
      <c r="Y27" s="78">
        <f t="shared" ca="1" si="9"/>
        <v>0.86227353340298774</v>
      </c>
      <c r="Z27" s="78">
        <f t="shared" ca="1" si="9"/>
        <v>0.85297945990406576</v>
      </c>
      <c r="AA27" s="78">
        <f t="shared" ca="1" si="9"/>
        <v>0.84376465860268668</v>
      </c>
      <c r="AB27" s="78">
        <f t="shared" ca="1" si="9"/>
        <v>0.83462983126366219</v>
      </c>
      <c r="AC27" s="78">
        <f t="shared" ca="1" si="9"/>
        <v>0.82557557466357467</v>
      </c>
      <c r="AD27" s="78">
        <f t="shared" ca="1" si="9"/>
        <v>0.81660238746014613</v>
      </c>
      <c r="AE27" s="78">
        <f t="shared" ca="1" si="9"/>
        <v>0.80771067666827134</v>
      </c>
      <c r="AF27" s="78">
        <f t="shared" ca="1" si="9"/>
        <v>0.79890076376307861</v>
      </c>
      <c r="AG27" s="78">
        <f t="shared" ca="1" si="9"/>
        <v>0.79017289042952688</v>
      </c>
      <c r="AH27" s="78">
        <f t="shared" ca="1" si="9"/>
        <v>0.78152722397720142</v>
      </c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88"/>
    </row>
    <row r="28" spans="3:51" x14ac:dyDescent="0.2">
      <c r="C28" s="93"/>
      <c r="D28" s="94"/>
      <c r="E28" s="75">
        <f t="shared" ca="1" si="4"/>
        <v>18</v>
      </c>
      <c r="F28" s="76">
        <f t="shared" ca="1" si="5"/>
        <v>4.5</v>
      </c>
      <c r="G28" s="77">
        <f t="shared" ca="1" si="6"/>
        <v>3.714128350040044E-2</v>
      </c>
      <c r="H28" s="78">
        <f t="shared" ca="1" si="0"/>
        <v>0.24628431180412447</v>
      </c>
      <c r="I28" s="90">
        <f t="shared" ca="1" si="1"/>
        <v>0.19645972573520765</v>
      </c>
      <c r="J28" s="80">
        <f t="shared" ca="1" si="2"/>
        <v>4.9824586068916821E-2</v>
      </c>
      <c r="K28" s="95"/>
      <c r="L28" s="87">
        <f t="shared" ca="1" si="9"/>
        <v>0.99071842620981454</v>
      </c>
      <c r="M28" s="78">
        <f t="shared" ca="1" si="9"/>
        <v>0.98144753267325957</v>
      </c>
      <c r="N28" s="78">
        <f t="shared" ca="1" si="9"/>
        <v>0.97219187617374792</v>
      </c>
      <c r="O28" s="78">
        <f t="shared" ca="1" si="9"/>
        <v>0.96295572881556779</v>
      </c>
      <c r="P28" s="78">
        <f t="shared" ca="1" si="9"/>
        <v>0.9537430922427037</v>
      </c>
      <c r="Q28" s="78">
        <f t="shared" ca="1" si="9"/>
        <v>0.94455771126475374</v>
      </c>
      <c r="R28" s="78">
        <f t="shared" ca="1" si="9"/>
        <v>0.93540308690329554</v>
      </c>
      <c r="S28" s="78">
        <f t="shared" ca="1" si="9"/>
        <v>0.92628248887318931</v>
      </c>
      <c r="T28" s="78">
        <f t="shared" ca="1" si="9"/>
        <v>0.91719896751421492</v>
      </c>
      <c r="U28" s="78">
        <f t="shared" ca="1" si="9"/>
        <v>0.90815536518913287</v>
      </c>
      <c r="V28" s="78">
        <f t="shared" ca="1" si="9"/>
        <v>0.89915432716477328</v>
      </c>
      <c r="W28" s="78">
        <f t="shared" ca="1" si="9"/>
        <v>0.89019831199310817</v>
      </c>
      <c r="X28" s="78">
        <f t="shared" ca="1" si="9"/>
        <v>0.88128960140947254</v>
      </c>
      <c r="Y28" s="78">
        <f t="shared" ca="1" si="9"/>
        <v>0.8724303097651912</v>
      </c>
      <c r="Z28" s="78">
        <f t="shared" ca="1" si="9"/>
        <v>0.86362239301185439</v>
      </c>
      <c r="AA28" s="78">
        <f t="shared" ca="1" si="9"/>
        <v>0.85486765725437919</v>
      </c>
      <c r="AB28" s="78">
        <f t="shared" ca="1" si="9"/>
        <v>0.84616776688981232</v>
      </c>
      <c r="AC28" s="78">
        <f t="shared" ca="1" si="9"/>
        <v>0.83752425234859107</v>
      </c>
      <c r="AD28" s="78">
        <f t="shared" ca="1" si="9"/>
        <v>0.82893851745466696</v>
      </c>
      <c r="AE28" s="78">
        <f t="shared" ca="1" si="9"/>
        <v>0.8204118464205663</v>
      </c>
      <c r="AF28" s="78">
        <f t="shared" ca="1" si="9"/>
        <v>0.81194541049306979</v>
      </c>
      <c r="AG28" s="78">
        <f t="shared" ca="1" si="9"/>
        <v>0.80354027426479235</v>
      </c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88"/>
    </row>
    <row r="29" spans="3:51" x14ac:dyDescent="0.2">
      <c r="C29" s="93"/>
      <c r="D29" s="94"/>
      <c r="E29" s="75">
        <f t="shared" ca="1" si="4"/>
        <v>19</v>
      </c>
      <c r="F29" s="76">
        <f t="shared" ca="1" si="5"/>
        <v>4.75</v>
      </c>
      <c r="G29" s="77">
        <f t="shared" ca="1" si="6"/>
        <v>4.2852905477184504E-2</v>
      </c>
      <c r="H29" s="78">
        <f t="shared" ca="1" si="0"/>
        <v>0.23323247525527685</v>
      </c>
      <c r="I29" s="90">
        <f t="shared" ca="1" si="1"/>
        <v>0.20677707680153956</v>
      </c>
      <c r="J29" s="80">
        <f t="shared" ca="1" si="2"/>
        <v>2.6455398453737289E-2</v>
      </c>
      <c r="K29" s="95"/>
      <c r="L29" s="87">
        <f t="shared" ca="1" si="9"/>
        <v>0.98932229528259952</v>
      </c>
      <c r="M29" s="78">
        <f t="shared" ca="1" si="9"/>
        <v>0.97871742559523933</v>
      </c>
      <c r="N29" s="78">
        <f t="shared" ca="1" si="9"/>
        <v>0.96818788985895166</v>
      </c>
      <c r="O29" s="78">
        <f t="shared" ca="1" si="9"/>
        <v>0.95773594805383977</v>
      </c>
      <c r="P29" s="78">
        <f t="shared" ca="1" si="9"/>
        <v>0.94736363627768161</v>
      </c>
      <c r="Q29" s="78">
        <f t="shared" ca="1" si="9"/>
        <v>0.93707278098150726</v>
      </c>
      <c r="R29" s="78">
        <f t="shared" ca="1" si="9"/>
        <v>0.92686501241887742</v>
      </c>
      <c r="S29" s="78">
        <f t="shared" ca="1" si="9"/>
        <v>0.91674177734485451</v>
      </c>
      <c r="T29" s="78">
        <f t="shared" ca="1" si="9"/>
        <v>0.90670435099982649</v>
      </c>
      <c r="U29" s="78">
        <f t="shared" ca="1" si="9"/>
        <v>0.89675384841239292</v>
      </c>
      <c r="V29" s="78">
        <f t="shared" ca="1" si="9"/>
        <v>0.88689123505453038</v>
      </c>
      <c r="W29" s="78">
        <f t="shared" ca="1" si="9"/>
        <v>0.87711733688118565</v>
      </c>
      <c r="X29" s="78">
        <f t="shared" ca="1" si="9"/>
        <v>0.86743284978535051</v>
      </c>
      <c r="Y29" s="78">
        <f t="shared" ca="1" si="9"/>
        <v>0.85783834849854612</v>
      </c>
      <c r="Z29" s="78">
        <f t="shared" ca="1" si="9"/>
        <v>0.84833429496550694</v>
      </c>
      <c r="AA29" s="78">
        <f t="shared" ca="1" si="9"/>
        <v>0.83892104622070696</v>
      </c>
      <c r="AB29" s="78">
        <f t="shared" ca="1" si="9"/>
        <v>0.8295988617932335</v>
      </c>
      <c r="AC29" s="78">
        <f t="shared" ca="1" si="9"/>
        <v>0.82036791066537995</v>
      </c>
      <c r="AD29" s="78">
        <f t="shared" ca="1" si="9"/>
        <v>0.81122827780921114</v>
      </c>
      <c r="AE29" s="78">
        <f t="shared" ca="1" si="9"/>
        <v>0.8021799703242628</v>
      </c>
      <c r="AF29" s="78">
        <f t="shared" ca="1" si="9"/>
        <v>0.79322292319846044</v>
      </c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88"/>
    </row>
    <row r="30" spans="3:51" x14ac:dyDescent="0.2">
      <c r="C30" s="93"/>
      <c r="D30" s="94"/>
      <c r="E30" s="75">
        <f t="shared" ca="1" si="4"/>
        <v>20</v>
      </c>
      <c r="F30" s="76">
        <f t="shared" ca="1" si="5"/>
        <v>5</v>
      </c>
      <c r="G30" s="77">
        <f t="shared" ca="1" si="6"/>
        <v>4.1081912057341893E-2</v>
      </c>
      <c r="H30" s="78">
        <f t="shared" ca="1" si="0"/>
        <v>0.22417253875578236</v>
      </c>
      <c r="I30" s="90">
        <f t="shared" ca="1" si="1"/>
        <v>0.19221066483718396</v>
      </c>
      <c r="J30" s="80">
        <f t="shared" ca="1" si="2"/>
        <v>3.1961873918598394E-2</v>
      </c>
      <c r="K30" s="95"/>
      <c r="L30" s="87">
        <f t="shared" ref="L30:AE44" ca="1" si="10">L$50*EXP(-L$51*$G30)</f>
        <v>0.98975498077564539</v>
      </c>
      <c r="M30" s="78">
        <f t="shared" ca="1" si="10"/>
        <v>0.97956313219043567</v>
      </c>
      <c r="N30" s="78">
        <f t="shared" ca="1" si="10"/>
        <v>0.96942763239109264</v>
      </c>
      <c r="O30" s="78">
        <f t="shared" ca="1" si="10"/>
        <v>0.95935140343676306</v>
      </c>
      <c r="P30" s="78">
        <f t="shared" ca="1" si="10"/>
        <v>0.94933712627209754</v>
      </c>
      <c r="Q30" s="78">
        <f t="shared" ca="1" si="10"/>
        <v>0.9393872549406268</v>
      </c>
      <c r="R30" s="78">
        <f t="shared" ca="1" si="10"/>
        <v>0.92950403006805826</v>
      </c>
      <c r="S30" s="78">
        <f t="shared" ca="1" si="10"/>
        <v>0.91968949164498937</v>
      </c>
      <c r="T30" s="78">
        <f t="shared" ca="1" si="10"/>
        <v>0.90994549113825984</v>
      </c>
      <c r="U30" s="78">
        <f t="shared" ca="1" si="10"/>
        <v>0.9002737029597524</v>
      </c>
      <c r="V30" s="78">
        <f t="shared" ca="1" si="10"/>
        <v>0.89067563532093308</v>
      </c>
      <c r="W30" s="78">
        <f t="shared" ca="1" si="10"/>
        <v>0.88115264050080866</v>
      </c>
      <c r="X30" s="78">
        <f t="shared" ca="1" si="10"/>
        <v>0.87170592455429619</v>
      </c>
      <c r="Y30" s="78">
        <f t="shared" ca="1" si="10"/>
        <v>0.86233655648725527</v>
      </c>
      <c r="Z30" s="78">
        <f t="shared" ca="1" si="10"/>
        <v>0.85304547692364674</v>
      </c>
      <c r="AA30" s="78">
        <f t="shared" ca="1" si="10"/>
        <v>0.84383350628945852</v>
      </c>
      <c r="AB30" s="78">
        <f t="shared" ca="1" si="10"/>
        <v>0.83470135253719557</v>
      </c>
      <c r="AC30" s="78">
        <f t="shared" ca="1" si="10"/>
        <v>0.82564961843387341</v>
      </c>
      <c r="AD30" s="78">
        <f t="shared" ca="1" si="10"/>
        <v>0.81667880843458041</v>
      </c>
      <c r="AE30" s="78">
        <f t="shared" ca="1" si="10"/>
        <v>0.80778933516281604</v>
      </c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88"/>
    </row>
    <row r="31" spans="3:51" x14ac:dyDescent="0.2">
      <c r="C31" s="93"/>
      <c r="D31" s="94"/>
      <c r="E31" s="75">
        <f t="shared" ca="1" si="4"/>
        <v>21</v>
      </c>
      <c r="F31" s="76">
        <f t="shared" ca="1" si="5"/>
        <v>5.25</v>
      </c>
      <c r="G31" s="77">
        <f t="shared" ca="1" si="6"/>
        <v>4.2354229868996389E-2</v>
      </c>
      <c r="H31" s="78">
        <f t="shared" ca="1" si="0"/>
        <v>0.21351067438822438</v>
      </c>
      <c r="I31" s="90">
        <f t="shared" ca="1" si="1"/>
        <v>0.18724065391301015</v>
      </c>
      <c r="J31" s="80">
        <f t="shared" ca="1" si="2"/>
        <v>2.6270020475214234E-2</v>
      </c>
      <c r="K31" s="95"/>
      <c r="L31" s="87">
        <f t="shared" ca="1" si="10"/>
        <v>0.98944411155221601</v>
      </c>
      <c r="M31" s="78">
        <f t="shared" ca="1" si="10"/>
        <v>0.97895548543665256</v>
      </c>
      <c r="N31" s="78">
        <f t="shared" ca="1" si="10"/>
        <v>0.96853681560966465</v>
      </c>
      <c r="O31" s="78">
        <f t="shared" ca="1" si="10"/>
        <v>0.95819055198134218</v>
      </c>
      <c r="P31" s="78">
        <f t="shared" ca="1" si="10"/>
        <v>0.94791891546688112</v>
      </c>
      <c r="Q31" s="78">
        <f t="shared" ca="1" si="10"/>
        <v>0.93772391223193241</v>
      </c>
      <c r="R31" s="78">
        <f t="shared" ca="1" si="10"/>
        <v>0.92760734716667848</v>
      </c>
      <c r="S31" s="78">
        <f t="shared" ca="1" si="10"/>
        <v>0.91757083662282302</v>
      </c>
      <c r="T31" s="78">
        <f t="shared" ca="1" si="10"/>
        <v>0.90761582044700584</v>
      </c>
      <c r="U31" s="78">
        <f t="shared" ca="1" si="10"/>
        <v>0.89774357334335853</v>
      </c>
      <c r="V31" s="78">
        <f t="shared" ca="1" si="10"/>
        <v>0.88795521559705781</v>
      </c>
      <c r="W31" s="78">
        <f t="shared" ca="1" si="10"/>
        <v>0.87825172318979328</v>
      </c>
      <c r="X31" s="78">
        <f t="shared" ca="1" si="10"/>
        <v>0.86863393733708716</v>
      </c>
      <c r="Y31" s="78">
        <f t="shared" ca="1" si="10"/>
        <v>0.85910257347638797</v>
      </c>
      <c r="Z31" s="78">
        <f t="shared" ca="1" si="10"/>
        <v>0.84965822973381722</v>
      </c>
      <c r="AA31" s="78">
        <f t="shared" ca="1" si="10"/>
        <v>0.84030139489639444</v>
      </c>
      <c r="AB31" s="78">
        <f t="shared" ca="1" si="10"/>
        <v>0.83103245591551</v>
      </c>
      <c r="AC31" s="78">
        <f t="shared" ca="1" si="10"/>
        <v>0.8218517049663574</v>
      </c>
      <c r="AD31" s="78">
        <f t="shared" ca="1" si="10"/>
        <v>0.81275934608698985</v>
      </c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88"/>
    </row>
    <row r="32" spans="3:51" x14ac:dyDescent="0.2">
      <c r="C32" s="93"/>
      <c r="D32" s="94"/>
      <c r="E32" s="75">
        <f t="shared" ca="1" si="4"/>
        <v>22</v>
      </c>
      <c r="F32" s="76">
        <f t="shared" ca="1" si="5"/>
        <v>5.5</v>
      </c>
      <c r="G32" s="77">
        <f t="shared" ca="1" si="6"/>
        <v>4.6617361739595464E-2</v>
      </c>
      <c r="H32" s="78">
        <f t="shared" ca="1" si="0"/>
        <v>0.20163590562092881</v>
      </c>
      <c r="I32" s="90">
        <f t="shared" ca="1" si="1"/>
        <v>0.19074701496854474</v>
      </c>
      <c r="J32" s="80">
        <f t="shared" ca="1" si="2"/>
        <v>1.0888890652384076E-2</v>
      </c>
      <c r="K32" s="95"/>
      <c r="L32" s="87">
        <f t="shared" ca="1" si="10"/>
        <v>0.98840319927831755</v>
      </c>
      <c r="M32" s="78">
        <f t="shared" ca="1" si="10"/>
        <v>0.97692220076299574</v>
      </c>
      <c r="N32" s="78">
        <f t="shared" ca="1" si="10"/>
        <v>0.9655579344539349</v>
      </c>
      <c r="O32" s="78">
        <f t="shared" ca="1" si="10"/>
        <v>0.95431113716843707</v>
      </c>
      <c r="P32" s="78">
        <f t="shared" ca="1" si="10"/>
        <v>0.94318236720209392</v>
      </c>
      <c r="Q32" s="78">
        <f t="shared" ca="1" si="10"/>
        <v>0.93217201806182148</v>
      </c>
      <c r="R32" s="78">
        <f t="shared" ca="1" si="10"/>
        <v>0.92128033132195108</v>
      </c>
      <c r="S32" s="78">
        <f t="shared" ca="1" si="10"/>
        <v>0.91050740865220037</v>
      </c>
      <c r="T32" s="78">
        <f t="shared" ca="1" si="10"/>
        <v>0.89985322306427251</v>
      </c>
      <c r="U32" s="78">
        <f t="shared" ca="1" si="10"/>
        <v>0.88931762942174997</v>
      </c>
      <c r="V32" s="78">
        <f t="shared" ca="1" si="10"/>
        <v>0.87890037425590795</v>
      </c>
      <c r="W32" s="78">
        <f t="shared" ca="1" si="10"/>
        <v>0.86860110492804798</v>
      </c>
      <c r="X32" s="78">
        <f t="shared" ca="1" si="10"/>
        <v>0.85841937817698544</v>
      </c>
      <c r="Y32" s="78">
        <f t="shared" ca="1" si="10"/>
        <v>0.84835466808839421</v>
      </c>
      <c r="Z32" s="78">
        <f t="shared" ca="1" si="10"/>
        <v>0.83840637352084935</v>
      </c>
      <c r="AA32" s="78">
        <f t="shared" ca="1" si="10"/>
        <v>0.8285738250215916</v>
      </c>
      <c r="AB32" s="78">
        <f t="shared" ca="1" si="10"/>
        <v>0.81885629126329817</v>
      </c>
      <c r="AC32" s="78">
        <f t="shared" ca="1" si="10"/>
        <v>0.80925298503145526</v>
      </c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88"/>
    </row>
    <row r="33" spans="3:51" x14ac:dyDescent="0.2">
      <c r="C33" s="93"/>
      <c r="D33" s="94"/>
      <c r="E33" s="75">
        <f t="shared" ca="1" si="4"/>
        <v>23</v>
      </c>
      <c r="F33" s="76">
        <f t="shared" ca="1" si="5"/>
        <v>5.75</v>
      </c>
      <c r="G33" s="77">
        <f t="shared" ca="1" si="6"/>
        <v>4.8350936586975812E-2</v>
      </c>
      <c r="H33" s="78">
        <f t="shared" ca="1" si="0"/>
        <v>0.19089134100930905</v>
      </c>
      <c r="I33" s="90">
        <f t="shared" ca="1" si="1"/>
        <v>0.1860438945868722</v>
      </c>
      <c r="J33" s="80">
        <f t="shared" ca="1" si="2"/>
        <v>4.8474464224368408E-3</v>
      </c>
      <c r="K33" s="95"/>
      <c r="L33" s="87">
        <f t="shared" ca="1" si="10"/>
        <v>0.98798023232534149</v>
      </c>
      <c r="M33" s="78">
        <f t="shared" ca="1" si="10"/>
        <v>0.97609658708917391</v>
      </c>
      <c r="N33" s="78">
        <f t="shared" ca="1" si="10"/>
        <v>0.96434921374555582</v>
      </c>
      <c r="O33" s="78">
        <f t="shared" ca="1" si="10"/>
        <v>0.95273809405961862</v>
      </c>
      <c r="P33" s="78">
        <f t="shared" ca="1" si="10"/>
        <v>0.94126305629953011</v>
      </c>
      <c r="Q33" s="78">
        <f t="shared" ca="1" si="10"/>
        <v>0.92992378846810775</v>
      </c>
      <c r="R33" s="78">
        <f t="shared" ca="1" si="10"/>
        <v>0.91871985063089923</v>
      </c>
      <c r="S33" s="78">
        <f t="shared" ca="1" si="10"/>
        <v>0.90765068639483293</v>
      </c>
      <c r="T33" s="78">
        <f t="shared" ca="1" si="10"/>
        <v>0.8967156335888955</v>
      </c>
      <c r="U33" s="78">
        <f t="shared" ca="1" si="10"/>
        <v>0.88591393419568987</v>
      </c>
      <c r="V33" s="78">
        <f t="shared" ca="1" si="10"/>
        <v>0.87524474358020954</v>
      </c>
      <c r="W33" s="78">
        <f t="shared" ca="1" si="10"/>
        <v>0.86470713905971619</v>
      </c>
      <c r="X33" s="78">
        <f t="shared" ca="1" si="10"/>
        <v>0.85430012785624287</v>
      </c>
      <c r="Y33" s="78">
        <f t="shared" ca="1" si="10"/>
        <v>0.84402265447097258</v>
      </c>
      <c r="Z33" s="78">
        <f t="shared" ca="1" si="10"/>
        <v>0.8338736075175458</v>
      </c>
      <c r="AA33" s="78">
        <f t="shared" ca="1" si="10"/>
        <v>0.82385182604926221</v>
      </c>
      <c r="AB33" s="78">
        <f t="shared" ca="1" si="10"/>
        <v>0.8139561054131278</v>
      </c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88"/>
    </row>
    <row r="34" spans="3:51" x14ac:dyDescent="0.2">
      <c r="C34" s="93"/>
      <c r="D34" s="94"/>
      <c r="E34" s="75">
        <f t="shared" ca="1" si="4"/>
        <v>24</v>
      </c>
      <c r="F34" s="76">
        <f t="shared" ca="1" si="5"/>
        <v>6</v>
      </c>
      <c r="G34" s="77">
        <f t="shared" ca="1" si="6"/>
        <v>4.6987353534941878E-2</v>
      </c>
      <c r="H34" s="78">
        <f t="shared" ca="1" si="0"/>
        <v>0.18116319809559467</v>
      </c>
      <c r="I34" s="90">
        <f t="shared" ca="1" si="1"/>
        <v>0.17243624387345191</v>
      </c>
      <c r="J34" s="80">
        <f t="shared" ca="1" si="2"/>
        <v>8.7269542221427576E-3</v>
      </c>
      <c r="K34" s="95"/>
      <c r="L34" s="87">
        <f t="shared" ca="1" si="10"/>
        <v>0.98831291148539391</v>
      </c>
      <c r="M34" s="78">
        <f t="shared" ca="1" si="10"/>
        <v>0.97674593386160191</v>
      </c>
      <c r="N34" s="78">
        <f t="shared" ca="1" si="10"/>
        <v>0.96529983363508998</v>
      </c>
      <c r="O34" s="78">
        <f t="shared" ca="1" si="10"/>
        <v>0.95397518933180936</v>
      </c>
      <c r="P34" s="78">
        <f t="shared" ca="1" si="10"/>
        <v>0.94277240607376034</v>
      </c>
      <c r="Q34" s="78">
        <f t="shared" ca="1" si="10"/>
        <v>0.93169172921986876</v>
      </c>
      <c r="R34" s="78">
        <f t="shared" ca="1" si="10"/>
        <v>0.92073325712337928</v>
      </c>
      <c r="S34" s="78">
        <f t="shared" ca="1" si="10"/>
        <v>0.9098969530557578</v>
      </c>
      <c r="T34" s="78">
        <f t="shared" ca="1" si="10"/>
        <v>0.89918265634489358</v>
      </c>
      <c r="U34" s="78">
        <f t="shared" ca="1" si="10"/>
        <v>0.8885900927732</v>
      </c>
      <c r="V34" s="78">
        <f t="shared" ca="1" si="10"/>
        <v>0.8781188842790667</v>
      </c>
      <c r="W34" s="78">
        <f t="shared" ca="1" si="10"/>
        <v>0.86776855800300334</v>
      </c>
      <c r="X34" s="78">
        <f t="shared" ca="1" si="10"/>
        <v>0.85753855471775731</v>
      </c>
      <c r="Y34" s="78">
        <f t="shared" ca="1" si="10"/>
        <v>0.84742823667969003</v>
      </c>
      <c r="Z34" s="78">
        <f t="shared" ca="1" si="10"/>
        <v>0.83743689493675511</v>
      </c>
      <c r="AA34" s="78">
        <f t="shared" ca="1" si="10"/>
        <v>0.82756375612654809</v>
      </c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88"/>
    </row>
    <row r="35" spans="3:51" x14ac:dyDescent="0.2">
      <c r="C35" s="93"/>
      <c r="D35" s="94"/>
      <c r="E35" s="75">
        <f t="shared" ca="1" si="4"/>
        <v>25</v>
      </c>
      <c r="F35" s="76">
        <f t="shared" ca="1" si="5"/>
        <v>6.25</v>
      </c>
      <c r="G35" s="77">
        <f t="shared" ca="1" si="6"/>
        <v>4.3596631562255135E-2</v>
      </c>
      <c r="H35" s="78">
        <f t="shared" ca="1" si="0"/>
        <v>0.17181824509201424</v>
      </c>
      <c r="I35" s="90">
        <f t="shared" ca="1" si="1"/>
        <v>0.15363639309547994</v>
      </c>
      <c r="J35" s="80">
        <f t="shared" ca="1" si="2"/>
        <v>1.8181851996534298E-2</v>
      </c>
      <c r="K35" s="95"/>
      <c r="L35" s="87">
        <f t="shared" ca="1" si="10"/>
        <v>0.98914064604713225</v>
      </c>
      <c r="M35" s="78">
        <f t="shared" ca="1" si="10"/>
        <v>0.97836249008289067</v>
      </c>
      <c r="N35" s="78">
        <f t="shared" ca="1" si="10"/>
        <v>0.96766773462144251</v>
      </c>
      <c r="O35" s="78">
        <f t="shared" ca="1" si="10"/>
        <v>0.95705835125922811</v>
      </c>
      <c r="P35" s="78">
        <f t="shared" ca="1" si="10"/>
        <v>0.94653609571913799</v>
      </c>
      <c r="Q35" s="78">
        <f t="shared" ca="1" si="10"/>
        <v>0.93610252204756983</v>
      </c>
      <c r="R35" s="78">
        <f t="shared" ca="1" si="10"/>
        <v>0.92575899600401101</v>
      </c>
      <c r="S35" s="78">
        <f t="shared" ca="1" si="10"/>
        <v>0.91550670768179476</v>
      </c>
      <c r="T35" s="78">
        <f t="shared" ca="1" si="10"/>
        <v>0.90534668339759883</v>
      </c>
      <c r="U35" s="78">
        <f t="shared" ca="1" si="10"/>
        <v>0.89527979688608961</v>
      </c>
      <c r="V35" s="78">
        <f t="shared" ca="1" si="10"/>
        <v>0.8853067798349098</v>
      </c>
      <c r="W35" s="78">
        <f t="shared" ca="1" si="10"/>
        <v>0.87542823179395168</v>
      </c>
      <c r="X35" s="78">
        <f t="shared" ca="1" si="10"/>
        <v>0.86564462949159127</v>
      </c>
      <c r="Y35" s="78">
        <f t="shared" ca="1" si="10"/>
        <v>0.85595633558926909</v>
      </c>
      <c r="Z35" s="78">
        <f t="shared" ca="1" si="10"/>
        <v>0.84636360690452006</v>
      </c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88"/>
    </row>
    <row r="36" spans="3:51" x14ac:dyDescent="0.2">
      <c r="C36" s="93"/>
      <c r="D36" s="94"/>
      <c r="E36" s="75">
        <f t="shared" ca="1" si="4"/>
        <v>26</v>
      </c>
      <c r="F36" s="76">
        <f t="shared" ca="1" si="5"/>
        <v>6.5</v>
      </c>
      <c r="G36" s="77">
        <f t="shared" ca="1" si="6"/>
        <v>4.4042519894924102E-2</v>
      </c>
      <c r="H36" s="78">
        <f t="shared" ca="1" si="0"/>
        <v>0.16112156964260668</v>
      </c>
      <c r="I36" s="90">
        <f t="shared" ca="1" si="1"/>
        <v>0.14517001290439968</v>
      </c>
      <c r="J36" s="80">
        <f t="shared" ca="1" si="2"/>
        <v>1.5951556738207001E-2</v>
      </c>
      <c r="K36" s="95"/>
      <c r="L36" s="87">
        <f t="shared" ca="1" si="10"/>
        <v>0.98903175732812543</v>
      </c>
      <c r="M36" s="78">
        <f t="shared" ca="1" si="10"/>
        <v>0.97814975625139799</v>
      </c>
      <c r="N36" s="78">
        <f t="shared" ca="1" si="10"/>
        <v>0.96735601839300334</v>
      </c>
      <c r="O36" s="78">
        <f t="shared" ca="1" si="10"/>
        <v>0.95665233950550865</v>
      </c>
      <c r="P36" s="78">
        <f t="shared" ca="1" si="10"/>
        <v>0.946040304491651</v>
      </c>
      <c r="Q36" s="78">
        <f t="shared" ca="1" si="10"/>
        <v>0.93552130156431756</v>
      </c>
      <c r="R36" s="78">
        <f t="shared" ca="1" si="10"/>
        <v>0.92509653558708915</v>
      </c>
      <c r="S36" s="78">
        <f t="shared" ca="1" si="10"/>
        <v>0.91476704063556158</v>
      </c>
      <c r="T36" s="78">
        <f t="shared" ca="1" si="10"/>
        <v>0.90453369181843579</v>
      </c>
      <c r="U36" s="78">
        <f t="shared" ca="1" si="10"/>
        <v>0.89439721639606451</v>
      </c>
      <c r="V36" s="78">
        <f t="shared" ca="1" si="10"/>
        <v>0.88435820423281641</v>
      </c>
      <c r="W36" s="78">
        <f t="shared" ca="1" si="10"/>
        <v>0.87441711761824936</v>
      </c>
      <c r="X36" s="78">
        <f t="shared" ca="1" si="10"/>
        <v>0.86457430049071093</v>
      </c>
      <c r="Y36" s="78">
        <f t="shared" ca="1" si="10"/>
        <v>0.85482998709560032</v>
      </c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88"/>
    </row>
    <row r="37" spans="3:51" x14ac:dyDescent="0.2">
      <c r="C37" s="93"/>
      <c r="D37" s="94"/>
      <c r="E37" s="75">
        <f t="shared" ca="1" si="4"/>
        <v>27</v>
      </c>
      <c r="F37" s="76">
        <f t="shared" ca="1" si="5"/>
        <v>6.75</v>
      </c>
      <c r="G37" s="77">
        <f t="shared" ca="1" si="6"/>
        <v>3.700712031201274E-2</v>
      </c>
      <c r="H37" s="78">
        <f t="shared" ca="1" si="0"/>
        <v>0.15207262234586452</v>
      </c>
      <c r="I37" s="90">
        <f t="shared" ca="1" si="1"/>
        <v>0.11838226323117618</v>
      </c>
      <c r="J37" s="80">
        <f t="shared" ca="1" si="2"/>
        <v>3.3690359114688345E-2</v>
      </c>
      <c r="K37" s="95"/>
      <c r="L37" s="87">
        <f t="shared" ca="1" si="10"/>
        <v>0.99075124431038231</v>
      </c>
      <c r="M37" s="78">
        <f t="shared" ca="1" si="10"/>
        <v>0.98151175300536542</v>
      </c>
      <c r="N37" s="78">
        <f t="shared" ca="1" si="10"/>
        <v>0.9722861266194297</v>
      </c>
      <c r="O37" s="78">
        <f t="shared" ca="1" si="10"/>
        <v>0.96307868025937116</v>
      </c>
      <c r="P37" s="78">
        <f t="shared" ca="1" si="10"/>
        <v>0.95389345778465018</v>
      </c>
      <c r="Q37" s="78">
        <f t="shared" ca="1" si="10"/>
        <v>0.94473424540105733</v>
      </c>
      <c r="R37" s="78">
        <f t="shared" ca="1" si="10"/>
        <v>0.93560458468048613</v>
      </c>
      <c r="S37" s="78">
        <f t="shared" ca="1" si="10"/>
        <v>0.92650778502078679</v>
      </c>
      <c r="T37" s="78">
        <f t="shared" ca="1" si="10"/>
        <v>0.91744693556061852</v>
      </c>
      <c r="U37" s="78">
        <f t="shared" ca="1" si="10"/>
        <v>0.90842491656494473</v>
      </c>
      <c r="V37" s="78">
        <f t="shared" ca="1" si="10"/>
        <v>0.89944441029736755</v>
      </c>
      <c r="W37" s="78">
        <f t="shared" ca="1" si="10"/>
        <v>0.89050791139587548</v>
      </c>
      <c r="X37" s="78">
        <f t="shared" ca="1" si="10"/>
        <v>0.88161773676882382</v>
      </c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88"/>
    </row>
    <row r="38" spans="3:51" x14ac:dyDescent="0.2">
      <c r="C38" s="93"/>
      <c r="D38" s="94"/>
      <c r="E38" s="75">
        <f t="shared" ca="1" si="4"/>
        <v>28</v>
      </c>
      <c r="F38" s="76">
        <f t="shared" ca="1" si="5"/>
        <v>7</v>
      </c>
      <c r="G38" s="77">
        <f t="shared" ca="1" si="6"/>
        <v>4.1899728321654513E-2</v>
      </c>
      <c r="H38" s="78">
        <f t="shared" ca="1" si="0"/>
        <v>0.1400606144390196</v>
      </c>
      <c r="I38" s="90">
        <f t="shared" ca="1" si="1"/>
        <v>0.12071309968871413</v>
      </c>
      <c r="J38" s="80">
        <f t="shared" ca="1" si="2"/>
        <v>1.9347514750305467E-2</v>
      </c>
      <c r="K38" s="95"/>
      <c r="L38" s="87">
        <f t="shared" ca="1" si="10"/>
        <v>0.98955515006580674</v>
      </c>
      <c r="M38" s="78">
        <f t="shared" ca="1" si="10"/>
        <v>0.97917250771830422</v>
      </c>
      <c r="N38" s="78">
        <f t="shared" ca="1" si="10"/>
        <v>0.9688549420878374</v>
      </c>
      <c r="O38" s="78">
        <f t="shared" ca="1" si="10"/>
        <v>0.9586050737954851</v>
      </c>
      <c r="P38" s="78">
        <f t="shared" ca="1" si="10"/>
        <v>0.94842528998623077</v>
      </c>
      <c r="Q38" s="78">
        <f t="shared" ca="1" si="10"/>
        <v>0.9383177585721848</v>
      </c>
      <c r="R38" s="78">
        <f t="shared" ca="1" si="10"/>
        <v>0.92828444171878788</v>
      </c>
      <c r="S38" s="78">
        <f t="shared" ca="1" si="10"/>
        <v>0.91832710860651745</v>
      </c>
      <c r="T38" s="78">
        <f t="shared" ca="1" si="10"/>
        <v>0.90844734750009282</v>
      </c>
      <c r="U38" s="78">
        <f t="shared" ca="1" si="10"/>
        <v>0.89864657715651297</v>
      </c>
      <c r="V38" s="78">
        <f t="shared" ca="1" si="10"/>
        <v>0.88892605760252252</v>
      </c>
      <c r="W38" s="78">
        <f t="shared" ca="1" si="10"/>
        <v>0.87928690031128587</v>
      </c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88"/>
    </row>
    <row r="39" spans="3:51" x14ac:dyDescent="0.2">
      <c r="C39" s="93"/>
      <c r="D39" s="94"/>
      <c r="E39" s="75">
        <f t="shared" ca="1" si="4"/>
        <v>29</v>
      </c>
      <c r="F39" s="76">
        <f t="shared" ca="1" si="5"/>
        <v>7.25</v>
      </c>
      <c r="G39" s="77">
        <f t="shared" ca="1" si="6"/>
        <v>4.2773059920407086E-2</v>
      </c>
      <c r="H39" s="78">
        <f t="shared" ca="1" si="0"/>
        <v>0.12891827033089623</v>
      </c>
      <c r="I39" s="90">
        <f t="shared" ca="1" si="1"/>
        <v>0.1129384912254251</v>
      </c>
      <c r="J39" s="80">
        <f t="shared" ca="1" si="2"/>
        <v>1.5979779105471131E-2</v>
      </c>
      <c r="K39" s="95"/>
      <c r="L39" s="87">
        <f t="shared" ca="1" si="10"/>
        <v>0.98934179891344431</v>
      </c>
      <c r="M39" s="78">
        <f t="shared" ca="1" si="10"/>
        <v>0.97875553870721199</v>
      </c>
      <c r="N39" s="78">
        <f t="shared" ca="1" si="10"/>
        <v>0.96824374973030869</v>
      </c>
      <c r="O39" s="78">
        <f t="shared" ca="1" si="10"/>
        <v>0.95780872255862681</v>
      </c>
      <c r="P39" s="78">
        <f t="shared" ca="1" si="10"/>
        <v>0.94745252305329652</v>
      </c>
      <c r="Q39" s="78">
        <f t="shared" ca="1" si="10"/>
        <v>0.9371770065986873</v>
      </c>
      <c r="R39" s="78">
        <f t="shared" ca="1" si="10"/>
        <v>0.92698383155647124</v>
      </c>
      <c r="S39" s="78">
        <f t="shared" ca="1" si="10"/>
        <v>0.91687447197145588</v>
      </c>
      <c r="T39" s="78">
        <f t="shared" ca="1" si="10"/>
        <v>0.90685022956407901</v>
      </c>
      <c r="U39" s="78">
        <f t="shared" ca="1" si="10"/>
        <v>0.89691224504354106</v>
      </c>
      <c r="V39" s="78">
        <f t="shared" ca="1" si="10"/>
        <v>0.8870615087745749</v>
      </c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88"/>
    </row>
    <row r="40" spans="3:51" x14ac:dyDescent="0.2">
      <c r="C40" s="93"/>
      <c r="D40" s="94"/>
      <c r="E40" s="75">
        <f t="shared" ca="1" si="4"/>
        <v>30</v>
      </c>
      <c r="F40" s="76">
        <f t="shared" ca="1" si="5"/>
        <v>7.5</v>
      </c>
      <c r="G40" s="77">
        <f t="shared" ca="1" si="6"/>
        <v>3.5746105136006491E-2</v>
      </c>
      <c r="H40" s="78">
        <f t="shared" ca="1" si="0"/>
        <v>0.11886447282870123</v>
      </c>
      <c r="I40" s="90">
        <f t="shared" ca="1" si="1"/>
        <v>8.9037625930303177E-2</v>
      </c>
      <c r="J40" s="80">
        <f t="shared" ca="1" si="2"/>
        <v>2.9826846898398054E-2</v>
      </c>
      <c r="K40" s="95"/>
      <c r="L40" s="87">
        <f t="shared" ca="1" si="10"/>
        <v>0.99105975853064388</v>
      </c>
      <c r="M40" s="78">
        <f t="shared" ca="1" si="10"/>
        <v>0.98211557266818506</v>
      </c>
      <c r="N40" s="78">
        <f t="shared" ca="1" si="10"/>
        <v>0.97317244402397418</v>
      </c>
      <c r="O40" s="78">
        <f t="shared" ca="1" si="10"/>
        <v>0.96423508244804412</v>
      </c>
      <c r="P40" s="78">
        <f t="shared" ca="1" si="10"/>
        <v>0.95530791980932006</v>
      </c>
      <c r="Q40" s="78">
        <f t="shared" ca="1" si="10"/>
        <v>0.94639512324906705</v>
      </c>
      <c r="R40" s="78">
        <f t="shared" ca="1" si="10"/>
        <v>0.93750060791513845</v>
      </c>
      <c r="S40" s="78">
        <f t="shared" ca="1" si="10"/>
        <v>0.92862804918613773</v>
      </c>
      <c r="T40" s="78">
        <f t="shared" ca="1" si="10"/>
        <v>0.9197808943958915</v>
      </c>
      <c r="U40" s="78">
        <f t="shared" ca="1" si="10"/>
        <v>0.91096237406969682</v>
      </c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88"/>
    </row>
    <row r="41" spans="3:51" x14ac:dyDescent="0.2">
      <c r="C41" s="93"/>
      <c r="D41" s="94"/>
      <c r="E41" s="75">
        <f t="shared" ca="1" si="4"/>
        <v>31</v>
      </c>
      <c r="F41" s="76">
        <f t="shared" ca="1" si="5"/>
        <v>7.75</v>
      </c>
      <c r="G41" s="77">
        <f t="shared" ca="1" si="6"/>
        <v>4.1700907218386249E-2</v>
      </c>
      <c r="H41" s="78">
        <f t="shared" ca="1" si="0"/>
        <v>0.10674908241321567</v>
      </c>
      <c r="I41" s="90">
        <f t="shared" ca="1" si="1"/>
        <v>9.1188662607744941E-2</v>
      </c>
      <c r="J41" s="80">
        <f t="shared" ca="1" si="2"/>
        <v>1.5560419805470724E-2</v>
      </c>
      <c r="K41" s="95"/>
      <c r="L41" s="87">
        <f t="shared" ca="1" si="10"/>
        <v>0.98960372763507654</v>
      </c>
      <c r="M41" s="78">
        <f t="shared" ca="1" si="10"/>
        <v>0.9792674589553334</v>
      </c>
      <c r="N41" s="78">
        <f t="shared" ca="1" si="10"/>
        <v>0.9689941389475355</v>
      </c>
      <c r="O41" s="78">
        <f t="shared" ca="1" si="10"/>
        <v>0.95878646219349561</v>
      </c>
      <c r="P41" s="78">
        <f t="shared" ca="1" si="10"/>
        <v>0.94864688789184615</v>
      </c>
      <c r="Q41" s="78">
        <f t="shared" ca="1" si="10"/>
        <v>0.93857765409706184</v>
      </c>
      <c r="R41" s="78">
        <f t="shared" ca="1" si="10"/>
        <v>0.92858079120786252</v>
      </c>
      <c r="S41" s="78">
        <f t="shared" ca="1" si="10"/>
        <v>0.91865813473678581</v>
      </c>
      <c r="T41" s="78">
        <f t="shared" ca="1" si="10"/>
        <v>0.90881133739225506</v>
      </c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88"/>
    </row>
    <row r="42" spans="3:51" x14ac:dyDescent="0.2">
      <c r="C42" s="93"/>
      <c r="D42" s="94"/>
      <c r="E42" s="75">
        <f t="shared" ca="1" si="4"/>
        <v>32</v>
      </c>
      <c r="F42" s="76">
        <f t="shared" ca="1" si="5"/>
        <v>8</v>
      </c>
      <c r="G42" s="77">
        <f t="shared" ca="1" si="6"/>
        <v>3.8828951199114684E-2</v>
      </c>
      <c r="H42" s="78">
        <f t="shared" ca="1" si="0"/>
        <v>9.5673524498653587E-2</v>
      </c>
      <c r="I42" s="90">
        <f t="shared" ca="1" si="1"/>
        <v>7.6546885334771386E-2</v>
      </c>
      <c r="J42" s="80">
        <f t="shared" ca="1" si="2"/>
        <v>1.91266391638822E-2</v>
      </c>
      <c r="K42" s="95"/>
      <c r="L42" s="87">
        <f t="shared" ca="1" si="10"/>
        <v>0.99030569307428762</v>
      </c>
      <c r="M42" s="78">
        <f t="shared" ca="1" si="10"/>
        <v>0.98064005004538057</v>
      </c>
      <c r="N42" s="78">
        <f t="shared" ca="1" si="10"/>
        <v>0.97100705950356325</v>
      </c>
      <c r="O42" s="78">
        <f t="shared" ca="1" si="10"/>
        <v>0.9614104360250959</v>
      </c>
      <c r="P42" s="78">
        <f t="shared" ca="1" si="10"/>
        <v>0.95185363480497209</v>
      </c>
      <c r="Q42" s="78">
        <f t="shared" ca="1" si="10"/>
        <v>0.94233986562139915</v>
      </c>
      <c r="R42" s="78">
        <f t="shared" ca="1" si="10"/>
        <v>0.93287210615235994</v>
      </c>
      <c r="S42" s="78">
        <f t="shared" ca="1" si="10"/>
        <v>0.92345311466522861</v>
      </c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88"/>
    </row>
    <row r="43" spans="3:51" x14ac:dyDescent="0.2">
      <c r="C43" s="93"/>
      <c r="D43" s="94"/>
      <c r="E43" s="75">
        <f t="shared" ca="1" si="4"/>
        <v>33</v>
      </c>
      <c r="F43" s="76">
        <f t="shared" ca="1" si="5"/>
        <v>8.25</v>
      </c>
      <c r="G43" s="77">
        <f t="shared" ca="1" si="6"/>
        <v>4.4227414753537336E-2</v>
      </c>
      <c r="H43" s="78">
        <f t="shared" ca="1" si="0"/>
        <v>8.3708701840144811E-2</v>
      </c>
      <c r="I43" s="90">
        <f t="shared" ca="1" si="1"/>
        <v>7.5178025352236055E-2</v>
      </c>
      <c r="J43" s="80">
        <f t="shared" ca="1" si="2"/>
        <v>8.530676487908756E-3</v>
      </c>
      <c r="K43" s="95"/>
      <c r="L43" s="87">
        <f t="shared" ca="1" si="10"/>
        <v>0.9889866083634189</v>
      </c>
      <c r="M43" s="78">
        <f t="shared" ca="1" si="10"/>
        <v>0.97806155627167102</v>
      </c>
      <c r="N43" s="78">
        <f t="shared" ca="1" si="10"/>
        <v>0.96722678963634168</v>
      </c>
      <c r="O43" s="78">
        <f t="shared" ca="1" si="10"/>
        <v>0.95648403064373455</v>
      </c>
      <c r="P43" s="78">
        <f t="shared" ca="1" si="10"/>
        <v>0.94583479276267135</v>
      </c>
      <c r="Q43" s="78">
        <f t="shared" ca="1" si="10"/>
        <v>0.9352803948859828</v>
      </c>
      <c r="R43" s="78">
        <f t="shared" ca="1" si="10"/>
        <v>0.92482197464776394</v>
      </c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88"/>
    </row>
    <row r="44" spans="3:51" x14ac:dyDescent="0.2">
      <c r="C44" s="93"/>
      <c r="D44" s="94"/>
      <c r="E44" s="75">
        <f t="shared" ca="1" si="4"/>
        <v>34</v>
      </c>
      <c r="F44" s="76">
        <f t="shared" ca="1" si="5"/>
        <v>8.5</v>
      </c>
      <c r="G44" s="77">
        <f t="shared" ca="1" si="6"/>
        <v>4.3893070367412357E-2</v>
      </c>
      <c r="H44" s="78">
        <f t="shared" ca="1" si="0"/>
        <v>7.2168258975276275E-2</v>
      </c>
      <c r="I44" s="90">
        <f t="shared" ca="1" si="1"/>
        <v>6.4283929505255299E-2</v>
      </c>
      <c r="J44" s="80">
        <f t="shared" ca="1" si="2"/>
        <v>7.8843294700209759E-3</v>
      </c>
      <c r="K44" s="95"/>
      <c r="L44" s="87">
        <f t="shared" ca="1" si="10"/>
        <v>0.98906825250166164</v>
      </c>
      <c r="M44" s="78">
        <f t="shared" ca="1" si="10"/>
        <v>0.97822105363701606</v>
      </c>
      <c r="N44" s="78">
        <f t="shared" ca="1" si="10"/>
        <v>0.96746048592551037</v>
      </c>
      <c r="O44" s="78">
        <f t="shared" ca="1" si="10"/>
        <v>0.9567884043044248</v>
      </c>
      <c r="P44" s="78">
        <f t="shared" ca="1" si="10"/>
        <v>0.94620645115874391</v>
      </c>
      <c r="Q44" s="78">
        <f t="shared" ca="1" si="10"/>
        <v>0.9357160704947447</v>
      </c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88"/>
    </row>
    <row r="45" spans="3:51" x14ac:dyDescent="0.2">
      <c r="C45" s="93"/>
      <c r="D45" s="94"/>
      <c r="E45" s="75">
        <f t="shared" ca="1" si="4"/>
        <v>35</v>
      </c>
      <c r="F45" s="76">
        <f t="shared" ca="1" si="5"/>
        <v>8.75</v>
      </c>
      <c r="G45" s="77">
        <f t="shared" ca="1" si="6"/>
        <v>4.4734103007366473E-2</v>
      </c>
      <c r="H45" s="78">
        <f t="shared" ca="1" si="0"/>
        <v>6.0435628798920948E-2</v>
      </c>
      <c r="I45" s="90">
        <f t="shared" ca="1" si="1"/>
        <v>5.4728165450383393E-2</v>
      </c>
      <c r="J45" s="80">
        <f t="shared" ca="1" si="2"/>
        <v>5.7074633485375559E-3</v>
      </c>
      <c r="K45" s="95"/>
      <c r="L45" s="87">
        <f ca="1">L$50*EXP(-L$51*$G45)</f>
        <v>0.98886289212137779</v>
      </c>
      <c r="M45" s="78">
        <f ca="1">M$50*EXP(-M$51*$G45)</f>
        <v>0.97781989266848279</v>
      </c>
      <c r="N45" s="78">
        <f ca="1">N$50*EXP(-N$51*$G45)</f>
        <v>0.96687273795743522</v>
      </c>
      <c r="O45" s="78">
        <f ca="1">O$50*EXP(-O$51*$G45)</f>
        <v>0.95602294661676335</v>
      </c>
      <c r="P45" s="78">
        <f ca="1">P$50*EXP(-P$51*$G45)</f>
        <v>0.94527183454961661</v>
      </c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88"/>
    </row>
    <row r="46" spans="3:51" x14ac:dyDescent="0.2">
      <c r="C46" s="93"/>
      <c r="D46" s="94"/>
      <c r="E46" s="75">
        <f t="shared" ca="1" si="4"/>
        <v>36</v>
      </c>
      <c r="F46" s="76">
        <f t="shared" ca="1" si="5"/>
        <v>9</v>
      </c>
      <c r="G46" s="77">
        <f t="shared" ca="1" si="6"/>
        <v>5.5648956301789877E-2</v>
      </c>
      <c r="H46" s="78">
        <f t="shared" ca="1" si="0"/>
        <v>4.8303146613814185E-2</v>
      </c>
      <c r="I46" s="90">
        <f t="shared" ca="1" si="1"/>
        <v>5.3855733237291092E-2</v>
      </c>
      <c r="J46" s="80">
        <f t="shared" ca="1" si="2"/>
        <v>-5.5525866234769072E-3</v>
      </c>
      <c r="K46" s="95"/>
      <c r="L46" s="87">
        <f ca="1">L$50*EXP(-L$51*$G46)</f>
        <v>0.98620160603001339</v>
      </c>
      <c r="M46" s="78">
        <f ca="1">M$50*EXP(-M$51*$G46)</f>
        <v>0.97262855548205251</v>
      </c>
      <c r="N46" s="78">
        <f ca="1">N$50*EXP(-N$51*$G46)</f>
        <v>0.95927730083036045</v>
      </c>
      <c r="O46" s="78">
        <f ca="1">O$50*EXP(-O$51*$G46)</f>
        <v>0.94614426676270891</v>
      </c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88"/>
    </row>
    <row r="47" spans="3:51" x14ac:dyDescent="0.2">
      <c r="C47" s="93"/>
      <c r="D47" s="94"/>
      <c r="E47" s="75">
        <f t="shared" ca="1" si="4"/>
        <v>37</v>
      </c>
      <c r="F47" s="76">
        <f t="shared" ca="1" si="5"/>
        <v>9.25</v>
      </c>
      <c r="G47" s="77">
        <f t="shared" ca="1" si="6"/>
        <v>5.7451232587114341E-2</v>
      </c>
      <c r="H47" s="78">
        <f t="shared" ca="1" si="0"/>
        <v>3.6444571914607544E-2</v>
      </c>
      <c r="I47" s="90">
        <f t="shared" ca="1" si="1"/>
        <v>4.1971116496388405E-2</v>
      </c>
      <c r="J47" s="80">
        <f t="shared" ca="1" si="2"/>
        <v>-5.5265445817808609E-3</v>
      </c>
      <c r="K47" s="95"/>
      <c r="L47" s="87">
        <f ca="1">L$50*EXP(-L$51*$G47)</f>
        <v>0.98576286011331049</v>
      </c>
      <c r="M47" s="78">
        <f ca="1">M$50*EXP(-M$51*$G47)</f>
        <v>0.97177400955168125</v>
      </c>
      <c r="N47" s="78">
        <f ca="1">N$50*EXP(-N$51*$G47)</f>
        <v>0.95802888350361159</v>
      </c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88"/>
    </row>
    <row r="48" spans="3:51" x14ac:dyDescent="0.2">
      <c r="C48" s="93"/>
      <c r="D48" s="94"/>
      <c r="E48" s="75">
        <f t="shared" ca="1" si="4"/>
        <v>38</v>
      </c>
      <c r="F48" s="76">
        <f t="shared" ca="1" si="5"/>
        <v>9.5</v>
      </c>
      <c r="G48" s="77">
        <f t="shared" ca="1" si="6"/>
        <v>6.5532350039292309E-2</v>
      </c>
      <c r="H48" s="78">
        <f t="shared" ca="1" si="0"/>
        <v>2.4396869704573155E-2</v>
      </c>
      <c r="I48" s="90">
        <f t="shared" ca="1" si="1"/>
        <v>3.2048416017616876E-2</v>
      </c>
      <c r="J48" s="80">
        <f t="shared" ca="1" si="2"/>
        <v>-7.6515463130437215E-3</v>
      </c>
      <c r="K48" s="95"/>
      <c r="L48" s="87">
        <f ca="1">L$50*EXP(-L$51*$G48)</f>
        <v>0.98379799238346932</v>
      </c>
      <c r="M48" s="78">
        <f ca="1">M$50*EXP(-M$51*$G48)</f>
        <v>0.96795158398238312</v>
      </c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88"/>
    </row>
    <row r="49" spans="1:254" x14ac:dyDescent="0.2">
      <c r="C49" s="93"/>
      <c r="D49" s="94"/>
      <c r="E49" s="75">
        <f t="shared" ca="1" si="4"/>
        <v>39</v>
      </c>
      <c r="F49" s="76">
        <f t="shared" ca="1" si="5"/>
        <v>9.75</v>
      </c>
      <c r="G49" s="77">
        <f t="shared" ca="1" si="6"/>
        <v>6.5785595670255617E-2</v>
      </c>
      <c r="H49" s="78">
        <f t="shared" ca="1" si="0"/>
        <v>1.2296706009917786E-2</v>
      </c>
      <c r="I49" s="90">
        <f t="shared" ca="1" si="1"/>
        <v>1.6263519206577204E-2</v>
      </c>
      <c r="J49" s="80">
        <f t="shared" ca="1" si="2"/>
        <v>-3.9668131966594175E-3</v>
      </c>
      <c r="K49" s="95"/>
      <c r="L49" s="96">
        <f ca="1">L$50*EXP(-L$51*$G49)</f>
        <v>0.9837364807934228</v>
      </c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8"/>
    </row>
    <row r="50" spans="1:254" ht="13.5" thickBot="1" x14ac:dyDescent="0.25">
      <c r="C50" s="93"/>
      <c r="D50" s="94"/>
      <c r="E50" s="99">
        <f t="shared" ca="1" si="4"/>
        <v>40</v>
      </c>
      <c r="F50" s="100">
        <f t="shared" ca="1" si="5"/>
        <v>10</v>
      </c>
      <c r="G50" s="101">
        <f t="shared" ca="1" si="6"/>
        <v>7.3234842998390851E-2</v>
      </c>
      <c r="H50" s="102">
        <v>0</v>
      </c>
      <c r="I50" s="103">
        <v>0</v>
      </c>
      <c r="J50" s="104">
        <f t="shared" ca="1" si="2"/>
        <v>0</v>
      </c>
      <c r="K50" s="105" t="s">
        <v>14</v>
      </c>
      <c r="L50" s="82">
        <f ca="1">EXP(((L51-L9)*(MeanRev^2*b_Param-Volatility^2/2))/MeanRev^2-(Volatility^2*L51^2/(4*MeanRev)))</f>
        <v>0.99984531154164269</v>
      </c>
      <c r="M50" s="83">
        <f t="shared" ref="M50:AY50" ca="1" si="11">EXP(((M51-M9)*(MeanRev^2*b_Param-Volatility^2/2))/MeanRev^2-(Volatility^2*M51^2/(4*MeanRev)))</f>
        <v>0.99938748241434794</v>
      </c>
      <c r="N50" s="83">
        <f t="shared" ca="1" si="11"/>
        <v>0.99863583737486117</v>
      </c>
      <c r="O50" s="83">
        <f t="shared" ca="1" si="11"/>
        <v>0.99759964941845869</v>
      </c>
      <c r="P50" s="83">
        <f t="shared" ca="1" si="11"/>
        <v>0.99628812549058099</v>
      </c>
      <c r="Q50" s="83">
        <f t="shared" ca="1" si="11"/>
        <v>0.99471039341269707</v>
      </c>
      <c r="R50" s="83">
        <f t="shared" ca="1" si="11"/>
        <v>0.99287548996227892</v>
      </c>
      <c r="S50" s="83">
        <f t="shared" ca="1" si="11"/>
        <v>0.99079235004772093</v>
      </c>
      <c r="T50" s="83">
        <f t="shared" ca="1" si="11"/>
        <v>0.98846979692021153</v>
      </c>
      <c r="U50" s="83">
        <f t="shared" ca="1" si="11"/>
        <v>0.98591653336590812</v>
      </c>
      <c r="V50" s="83">
        <f t="shared" ca="1" si="11"/>
        <v>0.98314113382326374</v>
      </c>
      <c r="W50" s="83">
        <f t="shared" ca="1" si="11"/>
        <v>0.98015203737196466</v>
      </c>
      <c r="X50" s="83">
        <f t="shared" ca="1" si="11"/>
        <v>0.97695754154164594</v>
      </c>
      <c r="Y50" s="83">
        <f t="shared" ca="1" si="11"/>
        <v>0.97356579689032929</v>
      </c>
      <c r="Z50" s="83">
        <f t="shared" ca="1" si="11"/>
        <v>0.96998480230435835</v>
      </c>
      <c r="AA50" s="83">
        <f t="shared" ca="1" si="11"/>
        <v>0.96622240097347045</v>
      </c>
      <c r="AB50" s="83">
        <f t="shared" ca="1" si="11"/>
        <v>0.96228627699652902</v>
      </c>
      <c r="AC50" s="83">
        <f t="shared" ca="1" si="11"/>
        <v>0.95818395257533007</v>
      </c>
      <c r="AD50" s="83">
        <f t="shared" ca="1" si="11"/>
        <v>0.95392278575577916</v>
      </c>
      <c r="AE50" s="83">
        <f t="shared" ca="1" si="11"/>
        <v>0.94950996867760606</v>
      </c>
      <c r="AF50" s="83">
        <f t="shared" ca="1" si="11"/>
        <v>0.94495252629562709</v>
      </c>
      <c r="AG50" s="83">
        <f t="shared" ca="1" si="11"/>
        <v>0.94025731553737757</v>
      </c>
      <c r="AH50" s="83">
        <f t="shared" ca="1" si="11"/>
        <v>0.93543102486371177</v>
      </c>
      <c r="AI50" s="83">
        <f t="shared" ca="1" si="11"/>
        <v>0.93048017420070239</v>
      </c>
      <c r="AJ50" s="83">
        <f t="shared" ca="1" si="11"/>
        <v>0.92541111521285202</v>
      </c>
      <c r="AK50" s="83">
        <f t="shared" ca="1" si="11"/>
        <v>0.92023003188927088</v>
      </c>
      <c r="AL50" s="83">
        <f t="shared" ca="1" si="11"/>
        <v>0.91494294141605081</v>
      </c>
      <c r="AM50" s="83">
        <f t="shared" ca="1" si="11"/>
        <v>0.90955569530959979</v>
      </c>
      <c r="AN50" s="83">
        <f t="shared" ca="1" si="11"/>
        <v>0.90407398078716883</v>
      </c>
      <c r="AO50" s="83">
        <f t="shared" ca="1" si="11"/>
        <v>0.89850332235222086</v>
      </c>
      <c r="AP50" s="83">
        <f t="shared" ca="1" si="11"/>
        <v>0.89284908357364856</v>
      </c>
      <c r="AQ50" s="83">
        <f t="shared" ca="1" si="11"/>
        <v>0.88711646903914987</v>
      </c>
      <c r="AR50" s="83">
        <f t="shared" ca="1" si="11"/>
        <v>0.88131052646431329</v>
      </c>
      <c r="AS50" s="83">
        <f t="shared" ca="1" si="11"/>
        <v>0.87543614894015442</v>
      </c>
      <c r="AT50" s="83">
        <f t="shared" ca="1" si="11"/>
        <v>0.86949807730297801</v>
      </c>
      <c r="AU50" s="83">
        <f t="shared" ca="1" si="11"/>
        <v>0.86350090261151646</v>
      </c>
      <c r="AV50" s="83">
        <f t="shared" ca="1" si="11"/>
        <v>0.85744906871732385</v>
      </c>
      <c r="AW50" s="83">
        <f t="shared" ca="1" si="11"/>
        <v>0.85134687491537753</v>
      </c>
      <c r="AX50" s="83">
        <f t="shared" ca="1" si="11"/>
        <v>0.84519847866276099</v>
      </c>
      <c r="AY50" s="106">
        <f t="shared" ca="1" si="11"/>
        <v>0.83900789835418033</v>
      </c>
    </row>
    <row r="51" spans="1:254" x14ac:dyDescent="0.2">
      <c r="K51" s="107" t="s">
        <v>15</v>
      </c>
      <c r="L51" s="96">
        <f t="shared" ref="L51:AY51" ca="1" si="12">(1-EXP(-MeanRev*L9))/MeanRev</f>
        <v>0.24690087971667385</v>
      </c>
      <c r="M51" s="97">
        <f t="shared" ca="1" si="12"/>
        <v>0.48770575499285984</v>
      </c>
      <c r="N51" s="97">
        <f t="shared" ca="1" si="12"/>
        <v>0.72256513671447142</v>
      </c>
      <c r="O51" s="97">
        <f t="shared" ca="1" si="12"/>
        <v>0.95162581964040482</v>
      </c>
      <c r="P51" s="97">
        <f t="shared" ca="1" si="12"/>
        <v>1.1750309741540454</v>
      </c>
      <c r="Q51" s="97">
        <f t="shared" ca="1" si="12"/>
        <v>1.3929202357494219</v>
      </c>
      <c r="R51" s="97">
        <f t="shared" ca="1" si="12"/>
        <v>1.6054297923079264</v>
      </c>
      <c r="S51" s="97">
        <f t="shared" ca="1" si="12"/>
        <v>1.8126924692201818</v>
      </c>
      <c r="T51" s="97">
        <f t="shared" ca="1" si="12"/>
        <v>2.0148378124062294</v>
      </c>
      <c r="U51" s="97">
        <f t="shared" ca="1" si="12"/>
        <v>2.211992169285951</v>
      </c>
      <c r="V51" s="97">
        <f t="shared" ca="1" si="12"/>
        <v>2.404278767750315</v>
      </c>
      <c r="W51" s="97">
        <f t="shared" ca="1" si="12"/>
        <v>2.591817793182821</v>
      </c>
      <c r="X51" s="97">
        <f t="shared" ca="1" si="12"/>
        <v>2.7747264635792779</v>
      </c>
      <c r="Y51" s="97">
        <f t="shared" ca="1" si="12"/>
        <v>2.9531191028128654</v>
      </c>
      <c r="Z51" s="97">
        <f t="shared" ca="1" si="12"/>
        <v>3.1271072120902774</v>
      </c>
      <c r="AA51" s="97">
        <f t="shared" ca="1" si="12"/>
        <v>3.2967995396436067</v>
      </c>
      <c r="AB51" s="97">
        <f t="shared" ca="1" si="12"/>
        <v>3.4623021487015269</v>
      </c>
      <c r="AC51" s="97">
        <f t="shared" ca="1" si="12"/>
        <v>3.6237184837822665</v>
      </c>
      <c r="AD51" s="97">
        <f t="shared" ca="1" si="12"/>
        <v>3.7811494353497999</v>
      </c>
      <c r="AE51" s="97">
        <f t="shared" ca="1" si="12"/>
        <v>3.9346934028736658</v>
      </c>
      <c r="AF51" s="97">
        <f t="shared" ca="1" si="12"/>
        <v>4.0844463563318483</v>
      </c>
      <c r="AG51" s="97">
        <f t="shared" ca="1" si="12"/>
        <v>4.2305018961951335</v>
      </c>
      <c r="AH51" s="97">
        <f t="shared" ca="1" si="12"/>
        <v>4.3729513119304428</v>
      </c>
      <c r="AI51" s="97">
        <f t="shared" ca="1" si="12"/>
        <v>4.5118836390597359</v>
      </c>
      <c r="AJ51" s="97">
        <f t="shared" ca="1" si="12"/>
        <v>4.6473857148100972</v>
      </c>
      <c r="AK51" s="97">
        <f t="shared" ca="1" si="12"/>
        <v>4.7795422323898391</v>
      </c>
      <c r="AL51" s="97">
        <f t="shared" ca="1" si="12"/>
        <v>4.9084357939245082</v>
      </c>
      <c r="AM51" s="97">
        <f t="shared" ca="1" si="12"/>
        <v>5.0341469620859058</v>
      </c>
      <c r="AN51" s="97">
        <f t="shared" ca="1" si="12"/>
        <v>5.1567543104463764</v>
      </c>
      <c r="AO51" s="97">
        <f t="shared" ca="1" si="12"/>
        <v>5.2763344725898529</v>
      </c>
      <c r="AP51" s="97">
        <f t="shared" ca="1" si="12"/>
        <v>5.3929621900103415</v>
      </c>
      <c r="AQ51" s="97">
        <f t="shared" ca="1" si="12"/>
        <v>5.5067103588277844</v>
      </c>
      <c r="AR51" s="97">
        <f t="shared" ca="1" si="12"/>
        <v>5.6176500753505083</v>
      </c>
      <c r="AS51" s="97">
        <f t="shared" ca="1" si="12"/>
        <v>5.7258506805127336</v>
      </c>
      <c r="AT51" s="97">
        <f t="shared" ca="1" si="12"/>
        <v>5.8313798032149151</v>
      </c>
      <c r="AU51" s="97">
        <f t="shared" ca="1" si="12"/>
        <v>5.9343034025940087</v>
      </c>
      <c r="AV51" s="97">
        <f t="shared" ca="1" si="12"/>
        <v>6.034685809250071</v>
      </c>
      <c r="AW51" s="97">
        <f t="shared" ca="1" si="12"/>
        <v>6.1325897654549877</v>
      </c>
      <c r="AX51" s="97">
        <f t="shared" ca="1" si="12"/>
        <v>6.2280764643684305</v>
      </c>
      <c r="AY51" s="98">
        <f t="shared" ca="1" si="12"/>
        <v>6.3212055882855767</v>
      </c>
    </row>
    <row r="52" spans="1:254" x14ac:dyDescent="0.2">
      <c r="B52" s="93"/>
      <c r="G52" s="108"/>
    </row>
    <row r="53" spans="1:254" s="113" customFormat="1" x14ac:dyDescent="0.2">
      <c r="A53" s="109"/>
      <c r="B53" s="110"/>
      <c r="C53" s="111"/>
      <c r="D53" s="63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  <c r="BL53" s="112"/>
      <c r="BM53" s="112"/>
      <c r="BN53" s="112"/>
      <c r="BO53" s="112"/>
      <c r="BP53" s="112"/>
      <c r="BQ53" s="112"/>
      <c r="BR53" s="112"/>
      <c r="BS53" s="112"/>
      <c r="BT53" s="112"/>
      <c r="BU53" s="112"/>
      <c r="BV53" s="112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L53" s="112"/>
      <c r="CM53" s="112"/>
      <c r="CN53" s="112"/>
      <c r="CO53" s="112"/>
      <c r="CP53" s="112"/>
      <c r="CQ53" s="112"/>
      <c r="CR53" s="112"/>
      <c r="CS53" s="112"/>
      <c r="CT53" s="112"/>
      <c r="CU53" s="112"/>
      <c r="CV53" s="112"/>
      <c r="CW53" s="112"/>
      <c r="CX53" s="112"/>
      <c r="CY53" s="112"/>
      <c r="CZ53" s="112"/>
      <c r="DA53" s="112"/>
      <c r="DB53" s="112"/>
      <c r="DC53" s="112"/>
      <c r="DD53" s="112"/>
      <c r="DE53" s="112"/>
      <c r="DF53" s="112"/>
      <c r="DG53" s="112"/>
      <c r="DH53" s="112"/>
      <c r="DI53" s="112"/>
      <c r="DJ53" s="112"/>
      <c r="DK53" s="112"/>
      <c r="DL53" s="112"/>
      <c r="DM53" s="112"/>
      <c r="DN53" s="112"/>
      <c r="DO53" s="112"/>
      <c r="DP53" s="112"/>
      <c r="DQ53" s="112"/>
      <c r="DR53" s="112"/>
      <c r="DS53" s="112"/>
      <c r="DT53" s="112"/>
      <c r="DU53" s="112"/>
      <c r="DV53" s="112"/>
      <c r="DW53" s="112"/>
      <c r="DX53" s="112"/>
      <c r="DY53" s="112"/>
      <c r="DZ53" s="112"/>
      <c r="EA53" s="112"/>
      <c r="EB53" s="112"/>
      <c r="EC53" s="112"/>
      <c r="ED53" s="112"/>
      <c r="EE53" s="112"/>
      <c r="EF53" s="112"/>
      <c r="EG53" s="112"/>
      <c r="EH53" s="112"/>
      <c r="EI53" s="112"/>
      <c r="EJ53" s="112"/>
      <c r="EK53" s="112"/>
      <c r="EL53" s="112"/>
      <c r="EM53" s="112"/>
      <c r="EN53" s="112"/>
      <c r="EO53" s="112"/>
      <c r="EP53" s="112"/>
      <c r="EQ53" s="112"/>
      <c r="ER53" s="112"/>
      <c r="ES53" s="112"/>
      <c r="ET53" s="112"/>
      <c r="EU53" s="112"/>
      <c r="EV53" s="112"/>
      <c r="EW53" s="112"/>
      <c r="EX53" s="112"/>
      <c r="EY53" s="112"/>
      <c r="EZ53" s="112"/>
      <c r="FA53" s="112"/>
      <c r="FB53" s="112"/>
      <c r="FC53" s="112"/>
      <c r="FD53" s="112"/>
      <c r="FE53" s="112"/>
      <c r="FF53" s="112"/>
      <c r="FG53" s="112"/>
      <c r="FH53" s="112"/>
      <c r="FI53" s="112"/>
      <c r="FJ53" s="112"/>
      <c r="FK53" s="112"/>
      <c r="FL53" s="112"/>
      <c r="FM53" s="112"/>
      <c r="FN53" s="112"/>
      <c r="FO53" s="112"/>
      <c r="FP53" s="112"/>
      <c r="FQ53" s="112"/>
      <c r="FR53" s="112"/>
      <c r="FS53" s="112"/>
      <c r="FT53" s="112"/>
      <c r="FU53" s="112"/>
      <c r="FV53" s="112"/>
      <c r="FW53" s="112"/>
      <c r="FX53" s="112"/>
      <c r="FY53" s="112"/>
      <c r="FZ53" s="112"/>
      <c r="GA53" s="112"/>
      <c r="GB53" s="112"/>
      <c r="GC53" s="112"/>
      <c r="GD53" s="112"/>
      <c r="GE53" s="112"/>
      <c r="GF53" s="112"/>
      <c r="GG53" s="112"/>
      <c r="GH53" s="112"/>
      <c r="GI53" s="112"/>
      <c r="GJ53" s="112"/>
      <c r="GK53" s="112"/>
      <c r="GL53" s="112"/>
      <c r="GM53" s="112"/>
      <c r="GN53" s="112"/>
      <c r="GO53" s="112"/>
      <c r="GP53" s="112"/>
      <c r="GQ53" s="112"/>
      <c r="GR53" s="112"/>
      <c r="GS53" s="112"/>
      <c r="GT53" s="112"/>
      <c r="GU53" s="112"/>
      <c r="GV53" s="112"/>
      <c r="GW53" s="112"/>
      <c r="GX53" s="112"/>
      <c r="GY53" s="112"/>
      <c r="GZ53" s="112"/>
      <c r="HA53" s="112"/>
      <c r="HB53" s="112"/>
      <c r="HC53" s="112"/>
      <c r="HD53" s="112"/>
      <c r="HE53" s="112"/>
      <c r="HF53" s="112"/>
      <c r="HG53" s="112"/>
      <c r="HH53" s="112"/>
      <c r="HI53" s="112"/>
      <c r="HJ53" s="112"/>
      <c r="HK53" s="112"/>
      <c r="HL53" s="112"/>
      <c r="HM53" s="112"/>
      <c r="HN53" s="112"/>
      <c r="HO53" s="112"/>
      <c r="HP53" s="112"/>
      <c r="HQ53" s="112"/>
      <c r="HR53" s="112"/>
      <c r="HS53" s="112"/>
      <c r="HT53" s="112"/>
      <c r="HU53" s="112"/>
      <c r="HV53" s="112"/>
      <c r="HW53" s="112"/>
      <c r="HX53" s="112"/>
      <c r="HY53" s="112"/>
      <c r="HZ53" s="112"/>
      <c r="IA53" s="112"/>
      <c r="IB53" s="112"/>
      <c r="IC53" s="112"/>
      <c r="ID53" s="112"/>
      <c r="IE53" s="112"/>
      <c r="IF53" s="112"/>
      <c r="IG53" s="112"/>
      <c r="IH53" s="112"/>
      <c r="II53" s="112"/>
      <c r="IJ53" s="112"/>
      <c r="IK53" s="112"/>
      <c r="IL53" s="112"/>
      <c r="IM53" s="112"/>
      <c r="IN53" s="112"/>
      <c r="IO53" s="112"/>
      <c r="IP53" s="112"/>
      <c r="IQ53" s="112"/>
      <c r="IR53" s="112"/>
      <c r="IS53" s="112"/>
      <c r="IT53" s="112"/>
    </row>
    <row r="54" spans="1:254" s="113" customFormat="1" x14ac:dyDescent="0.2">
      <c r="A54" s="60"/>
      <c r="B54" s="110"/>
      <c r="C54" s="111"/>
      <c r="D54" s="63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  <c r="BS54" s="112"/>
      <c r="BT54" s="112"/>
      <c r="BU54" s="112"/>
      <c r="BV54" s="112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L54" s="112"/>
      <c r="CM54" s="112"/>
      <c r="CN54" s="112"/>
      <c r="CO54" s="112"/>
      <c r="CP54" s="112"/>
      <c r="CQ54" s="112"/>
      <c r="CR54" s="112"/>
      <c r="CS54" s="112"/>
      <c r="CT54" s="112"/>
      <c r="CU54" s="112"/>
      <c r="CV54" s="112"/>
      <c r="CW54" s="112"/>
      <c r="CX54" s="112"/>
      <c r="CY54" s="112"/>
      <c r="CZ54" s="112"/>
      <c r="DA54" s="112"/>
      <c r="DB54" s="112"/>
      <c r="DC54" s="112"/>
      <c r="DD54" s="112"/>
      <c r="DE54" s="112"/>
      <c r="DF54" s="112"/>
      <c r="DG54" s="112"/>
      <c r="DH54" s="112"/>
      <c r="DI54" s="112"/>
      <c r="DJ54" s="112"/>
      <c r="DK54" s="112"/>
      <c r="DL54" s="112"/>
      <c r="DM54" s="112"/>
      <c r="DN54" s="112"/>
      <c r="DO54" s="112"/>
      <c r="DP54" s="112"/>
      <c r="DQ54" s="112"/>
      <c r="DR54" s="112"/>
      <c r="DS54" s="112"/>
      <c r="DT54" s="112"/>
      <c r="DU54" s="112"/>
      <c r="DV54" s="112"/>
      <c r="DW54" s="112"/>
      <c r="DX54" s="112"/>
      <c r="DY54" s="112"/>
      <c r="DZ54" s="112"/>
      <c r="EA54" s="112"/>
      <c r="EB54" s="112"/>
      <c r="EC54" s="112"/>
      <c r="ED54" s="112"/>
      <c r="EE54" s="112"/>
      <c r="EF54" s="112"/>
      <c r="EG54" s="112"/>
      <c r="EH54" s="112"/>
      <c r="EI54" s="112"/>
      <c r="EJ54" s="112"/>
      <c r="EK54" s="112"/>
      <c r="EL54" s="112"/>
      <c r="EM54" s="112"/>
      <c r="EN54" s="112"/>
      <c r="EO54" s="112"/>
      <c r="EP54" s="112"/>
      <c r="EQ54" s="112"/>
      <c r="ER54" s="112"/>
      <c r="ES54" s="112"/>
      <c r="ET54" s="112"/>
      <c r="EU54" s="112"/>
      <c r="EV54" s="112"/>
      <c r="EW54" s="112"/>
      <c r="EX54" s="112"/>
      <c r="EY54" s="112"/>
      <c r="EZ54" s="112"/>
      <c r="FA54" s="112"/>
      <c r="FB54" s="112"/>
      <c r="FC54" s="112"/>
      <c r="FD54" s="112"/>
      <c r="FE54" s="112"/>
      <c r="FF54" s="112"/>
      <c r="FG54" s="112"/>
      <c r="FH54" s="112"/>
      <c r="FI54" s="112"/>
      <c r="FJ54" s="112"/>
      <c r="FK54" s="112"/>
      <c r="FL54" s="112"/>
      <c r="FM54" s="112"/>
      <c r="FN54" s="112"/>
      <c r="FO54" s="112"/>
      <c r="FP54" s="112"/>
      <c r="FQ54" s="112"/>
      <c r="FR54" s="112"/>
      <c r="FS54" s="112"/>
      <c r="FT54" s="112"/>
      <c r="FU54" s="112"/>
      <c r="FV54" s="112"/>
      <c r="FW54" s="112"/>
      <c r="FX54" s="112"/>
      <c r="FY54" s="112"/>
      <c r="FZ54" s="112"/>
      <c r="GA54" s="112"/>
      <c r="GB54" s="112"/>
      <c r="GC54" s="112"/>
      <c r="GD54" s="112"/>
      <c r="GE54" s="112"/>
      <c r="GF54" s="112"/>
      <c r="GG54" s="112"/>
      <c r="GH54" s="112"/>
      <c r="GI54" s="112"/>
      <c r="GJ54" s="112"/>
      <c r="GK54" s="112"/>
      <c r="GL54" s="112"/>
      <c r="GM54" s="112"/>
      <c r="GN54" s="112"/>
      <c r="GO54" s="112"/>
      <c r="GP54" s="112"/>
      <c r="GQ54" s="112"/>
      <c r="GR54" s="112"/>
      <c r="GS54" s="112"/>
      <c r="GT54" s="112"/>
      <c r="GU54" s="112"/>
      <c r="GV54" s="112"/>
      <c r="GW54" s="112"/>
      <c r="GX54" s="112"/>
      <c r="GY54" s="112"/>
      <c r="GZ54" s="112"/>
      <c r="HA54" s="112"/>
      <c r="HB54" s="112"/>
      <c r="HC54" s="112"/>
      <c r="HD54" s="112"/>
      <c r="HE54" s="112"/>
      <c r="HF54" s="112"/>
      <c r="HG54" s="112"/>
      <c r="HH54" s="112"/>
      <c r="HI54" s="112"/>
      <c r="HJ54" s="112"/>
      <c r="HK54" s="112"/>
      <c r="HL54" s="112"/>
      <c r="HM54" s="112"/>
      <c r="HN54" s="112"/>
      <c r="HO54" s="112"/>
      <c r="HP54" s="112"/>
      <c r="HQ54" s="112"/>
      <c r="HR54" s="112"/>
      <c r="HS54" s="112"/>
      <c r="HT54" s="112"/>
      <c r="HU54" s="112"/>
      <c r="HV54" s="112"/>
      <c r="HW54" s="112"/>
      <c r="HX54" s="112"/>
      <c r="HY54" s="112"/>
      <c r="HZ54" s="112"/>
      <c r="IA54" s="112"/>
      <c r="IB54" s="112"/>
      <c r="IC54" s="112"/>
      <c r="ID54" s="112"/>
      <c r="IE54" s="112"/>
      <c r="IF54" s="112"/>
      <c r="IG54" s="112"/>
      <c r="IH54" s="112"/>
      <c r="II54" s="112"/>
      <c r="IJ54" s="112"/>
      <c r="IK54" s="112"/>
      <c r="IL54" s="112"/>
      <c r="IM54" s="112"/>
      <c r="IN54" s="112"/>
      <c r="IO54" s="112"/>
      <c r="IP54" s="112"/>
      <c r="IQ54" s="112"/>
      <c r="IR54" s="112"/>
      <c r="IS54" s="112"/>
      <c r="IT54" s="112"/>
    </row>
    <row r="55" spans="1:254" s="113" customFormat="1" x14ac:dyDescent="0.2">
      <c r="A55" s="60"/>
      <c r="B55" s="110"/>
      <c r="C55" s="111"/>
      <c r="D55" s="63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  <c r="BL55" s="112"/>
      <c r="BM55" s="112"/>
      <c r="BN55" s="112"/>
      <c r="BO55" s="112"/>
      <c r="BP55" s="112"/>
      <c r="BQ55" s="112"/>
      <c r="BR55" s="112"/>
      <c r="BS55" s="112"/>
      <c r="BT55" s="112"/>
      <c r="BU55" s="112"/>
      <c r="BV55" s="112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L55" s="112"/>
      <c r="CM55" s="112"/>
      <c r="CN55" s="112"/>
      <c r="CO55" s="112"/>
      <c r="CP55" s="112"/>
      <c r="CQ55" s="112"/>
      <c r="CR55" s="112"/>
      <c r="CS55" s="112"/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12"/>
      <c r="DU55" s="112"/>
      <c r="DV55" s="112"/>
      <c r="DW55" s="112"/>
      <c r="DX55" s="112"/>
      <c r="DY55" s="112"/>
      <c r="DZ55" s="112"/>
      <c r="EA55" s="112"/>
      <c r="EB55" s="112"/>
      <c r="EC55" s="112"/>
      <c r="ED55" s="112"/>
      <c r="EE55" s="112"/>
      <c r="EF55" s="112"/>
      <c r="EG55" s="112"/>
      <c r="EH55" s="112"/>
      <c r="EI55" s="112"/>
      <c r="EJ55" s="112"/>
      <c r="EK55" s="112"/>
      <c r="EL55" s="112"/>
      <c r="EM55" s="112"/>
      <c r="EN55" s="112"/>
      <c r="EO55" s="112"/>
      <c r="EP55" s="112"/>
      <c r="EQ55" s="112"/>
      <c r="ER55" s="112"/>
      <c r="ES55" s="112"/>
      <c r="ET55" s="112"/>
      <c r="EU55" s="112"/>
      <c r="EV55" s="112"/>
      <c r="EW55" s="112"/>
      <c r="EX55" s="112"/>
      <c r="EY55" s="112"/>
      <c r="EZ55" s="112"/>
      <c r="FA55" s="112"/>
      <c r="FB55" s="112"/>
      <c r="FC55" s="112"/>
      <c r="FD55" s="112"/>
      <c r="FE55" s="112"/>
      <c r="FF55" s="112"/>
      <c r="FG55" s="112"/>
      <c r="FH55" s="112"/>
      <c r="FI55" s="112"/>
      <c r="FJ55" s="112"/>
      <c r="FK55" s="112"/>
      <c r="FL55" s="112"/>
      <c r="FM55" s="112"/>
      <c r="FN55" s="112"/>
      <c r="FO55" s="112"/>
      <c r="FP55" s="112"/>
      <c r="FQ55" s="112"/>
      <c r="FR55" s="112"/>
      <c r="FS55" s="112"/>
      <c r="FT55" s="112"/>
      <c r="FU55" s="112"/>
      <c r="FV55" s="112"/>
      <c r="FW55" s="112"/>
      <c r="FX55" s="112"/>
      <c r="FY55" s="112"/>
      <c r="FZ55" s="112"/>
      <c r="GA55" s="112"/>
      <c r="GB55" s="112"/>
      <c r="GC55" s="112"/>
      <c r="GD55" s="112"/>
      <c r="GE55" s="112"/>
      <c r="GF55" s="112"/>
      <c r="GG55" s="112"/>
      <c r="GH55" s="112"/>
      <c r="GI55" s="112"/>
      <c r="GJ55" s="112"/>
      <c r="GK55" s="112"/>
      <c r="GL55" s="112"/>
      <c r="GM55" s="112"/>
      <c r="GN55" s="112"/>
      <c r="GO55" s="112"/>
      <c r="GP55" s="112"/>
      <c r="GQ55" s="112"/>
      <c r="GR55" s="112"/>
      <c r="GS55" s="112"/>
      <c r="GT55" s="112"/>
      <c r="GU55" s="112"/>
      <c r="GV55" s="112"/>
      <c r="GW55" s="112"/>
      <c r="GX55" s="112"/>
      <c r="GY55" s="112"/>
      <c r="GZ55" s="112"/>
      <c r="HA55" s="112"/>
      <c r="HB55" s="112"/>
      <c r="HC55" s="112"/>
      <c r="HD55" s="112"/>
      <c r="HE55" s="112"/>
      <c r="HF55" s="112"/>
      <c r="HG55" s="112"/>
      <c r="HH55" s="112"/>
      <c r="HI55" s="112"/>
      <c r="HJ55" s="112"/>
      <c r="HK55" s="112"/>
      <c r="HL55" s="112"/>
      <c r="HM55" s="112"/>
      <c r="HN55" s="112"/>
      <c r="HO55" s="112"/>
      <c r="HP55" s="112"/>
      <c r="HQ55" s="112"/>
      <c r="HR55" s="112"/>
      <c r="HS55" s="112"/>
      <c r="HT55" s="112"/>
      <c r="HU55" s="112"/>
      <c r="HV55" s="112"/>
      <c r="HW55" s="112"/>
      <c r="HX55" s="112"/>
      <c r="HY55" s="112"/>
      <c r="HZ55" s="112"/>
      <c r="IA55" s="112"/>
      <c r="IB55" s="112"/>
      <c r="IC55" s="112"/>
      <c r="ID55" s="112"/>
      <c r="IE55" s="112"/>
      <c r="IF55" s="112"/>
      <c r="IG55" s="112"/>
      <c r="IH55" s="112"/>
      <c r="II55" s="112"/>
      <c r="IJ55" s="112"/>
      <c r="IK55" s="112"/>
      <c r="IL55" s="112"/>
      <c r="IM55" s="112"/>
      <c r="IN55" s="112"/>
      <c r="IO55" s="112"/>
      <c r="IP55" s="112"/>
      <c r="IQ55" s="112"/>
      <c r="IR55" s="112"/>
      <c r="IS55" s="112"/>
      <c r="IT55" s="112"/>
    </row>
    <row r="56" spans="1:254" s="113" customFormat="1" x14ac:dyDescent="0.2">
      <c r="A56" s="60"/>
      <c r="B56" s="110"/>
      <c r="C56" s="111"/>
      <c r="D56" s="63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L56" s="112"/>
      <c r="CM56" s="112"/>
      <c r="CN56" s="112"/>
      <c r="CO56" s="112"/>
      <c r="CP56" s="112"/>
      <c r="CQ56" s="112"/>
      <c r="CR56" s="112"/>
      <c r="CS56" s="112"/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12"/>
      <c r="DU56" s="112"/>
      <c r="DV56" s="112"/>
      <c r="DW56" s="112"/>
      <c r="DX56" s="112"/>
      <c r="DY56" s="112"/>
      <c r="DZ56" s="112"/>
      <c r="EA56" s="112"/>
      <c r="EB56" s="112"/>
      <c r="EC56" s="112"/>
      <c r="ED56" s="112"/>
      <c r="EE56" s="112"/>
      <c r="EF56" s="112"/>
      <c r="EG56" s="112"/>
      <c r="EH56" s="112"/>
      <c r="EI56" s="112"/>
      <c r="EJ56" s="112"/>
      <c r="EK56" s="112"/>
      <c r="EL56" s="112"/>
      <c r="EM56" s="112"/>
      <c r="EN56" s="112"/>
      <c r="EO56" s="112"/>
      <c r="EP56" s="112"/>
      <c r="EQ56" s="112"/>
      <c r="ER56" s="112"/>
      <c r="ES56" s="112"/>
      <c r="ET56" s="112"/>
      <c r="EU56" s="112"/>
      <c r="EV56" s="112"/>
      <c r="EW56" s="112"/>
      <c r="EX56" s="112"/>
      <c r="EY56" s="112"/>
      <c r="EZ56" s="112"/>
      <c r="FA56" s="112"/>
      <c r="FB56" s="112"/>
      <c r="FC56" s="112"/>
      <c r="FD56" s="112"/>
      <c r="FE56" s="112"/>
      <c r="FF56" s="112"/>
      <c r="FG56" s="112"/>
      <c r="FH56" s="112"/>
      <c r="FI56" s="112"/>
      <c r="FJ56" s="112"/>
      <c r="FK56" s="112"/>
      <c r="FL56" s="112"/>
      <c r="FM56" s="112"/>
      <c r="FN56" s="112"/>
      <c r="FO56" s="112"/>
      <c r="FP56" s="112"/>
      <c r="FQ56" s="112"/>
      <c r="FR56" s="112"/>
      <c r="FS56" s="112"/>
      <c r="FT56" s="112"/>
      <c r="FU56" s="112"/>
      <c r="FV56" s="112"/>
      <c r="FW56" s="112"/>
      <c r="FX56" s="112"/>
      <c r="FY56" s="112"/>
      <c r="FZ56" s="112"/>
      <c r="GA56" s="112"/>
      <c r="GB56" s="112"/>
      <c r="GC56" s="112"/>
      <c r="GD56" s="112"/>
      <c r="GE56" s="112"/>
      <c r="GF56" s="112"/>
      <c r="GG56" s="112"/>
      <c r="GH56" s="112"/>
      <c r="GI56" s="112"/>
      <c r="GJ56" s="112"/>
      <c r="GK56" s="112"/>
      <c r="GL56" s="112"/>
      <c r="GM56" s="112"/>
      <c r="GN56" s="112"/>
      <c r="GO56" s="112"/>
      <c r="GP56" s="112"/>
      <c r="GQ56" s="112"/>
      <c r="GR56" s="112"/>
      <c r="GS56" s="112"/>
      <c r="GT56" s="112"/>
      <c r="GU56" s="112"/>
      <c r="GV56" s="112"/>
      <c r="GW56" s="112"/>
      <c r="GX56" s="112"/>
      <c r="GY56" s="112"/>
      <c r="GZ56" s="112"/>
      <c r="HA56" s="112"/>
      <c r="HB56" s="112"/>
      <c r="HC56" s="112"/>
      <c r="HD56" s="112"/>
      <c r="HE56" s="112"/>
      <c r="HF56" s="112"/>
      <c r="HG56" s="112"/>
      <c r="HH56" s="112"/>
      <c r="HI56" s="112"/>
      <c r="HJ56" s="112"/>
      <c r="HK56" s="112"/>
      <c r="HL56" s="112"/>
      <c r="HM56" s="112"/>
      <c r="HN56" s="112"/>
      <c r="HO56" s="112"/>
      <c r="HP56" s="112"/>
      <c r="HQ56" s="112"/>
      <c r="HR56" s="112"/>
      <c r="HS56" s="112"/>
      <c r="HT56" s="112"/>
      <c r="HU56" s="112"/>
      <c r="HV56" s="112"/>
      <c r="HW56" s="112"/>
      <c r="HX56" s="112"/>
      <c r="HY56" s="112"/>
      <c r="HZ56" s="112"/>
      <c r="IA56" s="112"/>
      <c r="IB56" s="112"/>
      <c r="IC56" s="112"/>
      <c r="ID56" s="112"/>
      <c r="IE56" s="112"/>
      <c r="IF56" s="112"/>
      <c r="IG56" s="112"/>
      <c r="IH56" s="112"/>
      <c r="II56" s="112"/>
      <c r="IJ56" s="112"/>
      <c r="IK56" s="112"/>
      <c r="IL56" s="112"/>
      <c r="IM56" s="112"/>
      <c r="IN56" s="112"/>
      <c r="IO56" s="112"/>
      <c r="IP56" s="112"/>
      <c r="IQ56" s="112"/>
      <c r="IR56" s="112"/>
      <c r="IS56" s="112"/>
      <c r="IT56" s="112"/>
    </row>
    <row r="57" spans="1:254" s="113" customFormat="1" x14ac:dyDescent="0.2">
      <c r="A57" s="60"/>
      <c r="B57" s="110"/>
      <c r="C57" s="111"/>
      <c r="D57" s="63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  <c r="BL57" s="112"/>
      <c r="BM57" s="112"/>
      <c r="BN57" s="112"/>
      <c r="BO57" s="112"/>
      <c r="BP57" s="112"/>
      <c r="BQ57" s="112"/>
      <c r="BR57" s="112"/>
      <c r="BS57" s="112"/>
      <c r="BT57" s="112"/>
      <c r="BU57" s="112"/>
      <c r="BV57" s="112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L57" s="112"/>
      <c r="CM57" s="112"/>
      <c r="CN57" s="112"/>
      <c r="CO57" s="112"/>
      <c r="CP57" s="112"/>
      <c r="CQ57" s="112"/>
      <c r="CR57" s="112"/>
      <c r="CS57" s="112"/>
      <c r="CT57" s="112"/>
      <c r="CU57" s="112"/>
      <c r="CV57" s="112"/>
      <c r="CW57" s="112"/>
      <c r="CX57" s="112"/>
      <c r="CY57" s="112"/>
      <c r="CZ57" s="112"/>
      <c r="DA57" s="112"/>
      <c r="DB57" s="112"/>
      <c r="DC57" s="112"/>
      <c r="DD57" s="112"/>
      <c r="DE57" s="112"/>
      <c r="DF57" s="112"/>
      <c r="DG57" s="112"/>
      <c r="DH57" s="112"/>
      <c r="DI57" s="112"/>
      <c r="DJ57" s="112"/>
      <c r="DK57" s="112"/>
      <c r="DL57" s="112"/>
      <c r="DM57" s="112"/>
      <c r="DN57" s="112"/>
      <c r="DO57" s="112"/>
      <c r="DP57" s="112"/>
      <c r="DQ57" s="112"/>
      <c r="DR57" s="112"/>
      <c r="DS57" s="112"/>
      <c r="DT57" s="112"/>
      <c r="DU57" s="112"/>
      <c r="DV57" s="112"/>
      <c r="DW57" s="112"/>
      <c r="DX57" s="112"/>
      <c r="DY57" s="112"/>
      <c r="DZ57" s="112"/>
      <c r="EA57" s="112"/>
      <c r="EB57" s="112"/>
      <c r="EC57" s="112"/>
      <c r="ED57" s="112"/>
      <c r="EE57" s="112"/>
      <c r="EF57" s="112"/>
      <c r="EG57" s="112"/>
      <c r="EH57" s="112"/>
      <c r="EI57" s="112"/>
      <c r="EJ57" s="112"/>
      <c r="EK57" s="112"/>
      <c r="EL57" s="112"/>
      <c r="EM57" s="112"/>
      <c r="EN57" s="112"/>
      <c r="EO57" s="112"/>
      <c r="EP57" s="112"/>
      <c r="EQ57" s="112"/>
      <c r="ER57" s="112"/>
      <c r="ES57" s="112"/>
      <c r="ET57" s="112"/>
      <c r="EU57" s="112"/>
      <c r="EV57" s="112"/>
      <c r="EW57" s="112"/>
      <c r="EX57" s="112"/>
      <c r="EY57" s="112"/>
      <c r="EZ57" s="112"/>
      <c r="FA57" s="112"/>
      <c r="FB57" s="112"/>
      <c r="FC57" s="112"/>
      <c r="FD57" s="112"/>
      <c r="FE57" s="112"/>
      <c r="FF57" s="112"/>
      <c r="FG57" s="112"/>
      <c r="FH57" s="112"/>
      <c r="FI57" s="112"/>
      <c r="FJ57" s="112"/>
      <c r="FK57" s="112"/>
      <c r="FL57" s="112"/>
      <c r="FM57" s="112"/>
      <c r="FN57" s="112"/>
      <c r="FO57" s="112"/>
      <c r="FP57" s="112"/>
      <c r="FQ57" s="112"/>
      <c r="FR57" s="112"/>
      <c r="FS57" s="112"/>
      <c r="FT57" s="112"/>
      <c r="FU57" s="112"/>
      <c r="FV57" s="112"/>
      <c r="FW57" s="112"/>
      <c r="FX57" s="112"/>
      <c r="FY57" s="112"/>
      <c r="FZ57" s="112"/>
      <c r="GA57" s="112"/>
      <c r="GB57" s="112"/>
      <c r="GC57" s="112"/>
      <c r="GD57" s="112"/>
      <c r="GE57" s="112"/>
      <c r="GF57" s="112"/>
      <c r="GG57" s="112"/>
      <c r="GH57" s="112"/>
      <c r="GI57" s="112"/>
      <c r="GJ57" s="112"/>
      <c r="GK57" s="112"/>
      <c r="GL57" s="112"/>
      <c r="GM57" s="112"/>
      <c r="GN57" s="112"/>
      <c r="GO57" s="112"/>
      <c r="GP57" s="112"/>
      <c r="GQ57" s="112"/>
      <c r="GR57" s="112"/>
      <c r="GS57" s="112"/>
      <c r="GT57" s="112"/>
      <c r="GU57" s="112"/>
      <c r="GV57" s="112"/>
      <c r="GW57" s="112"/>
      <c r="GX57" s="112"/>
      <c r="GY57" s="112"/>
      <c r="GZ57" s="112"/>
      <c r="HA57" s="112"/>
      <c r="HB57" s="112"/>
      <c r="HC57" s="112"/>
      <c r="HD57" s="112"/>
      <c r="HE57" s="112"/>
      <c r="HF57" s="112"/>
      <c r="HG57" s="112"/>
      <c r="HH57" s="112"/>
      <c r="HI57" s="112"/>
      <c r="HJ57" s="112"/>
      <c r="HK57" s="112"/>
      <c r="HL57" s="112"/>
      <c r="HM57" s="112"/>
      <c r="HN57" s="112"/>
      <c r="HO57" s="112"/>
      <c r="HP57" s="112"/>
      <c r="HQ57" s="112"/>
      <c r="HR57" s="112"/>
      <c r="HS57" s="112"/>
      <c r="HT57" s="112"/>
      <c r="HU57" s="112"/>
      <c r="HV57" s="112"/>
      <c r="HW57" s="112"/>
      <c r="HX57" s="112"/>
      <c r="HY57" s="112"/>
      <c r="HZ57" s="112"/>
      <c r="IA57" s="112"/>
      <c r="IB57" s="112"/>
      <c r="IC57" s="112"/>
      <c r="ID57" s="112"/>
      <c r="IE57" s="112"/>
      <c r="IF57" s="112"/>
      <c r="IG57" s="112"/>
      <c r="IH57" s="112"/>
      <c r="II57" s="112"/>
      <c r="IJ57" s="112"/>
      <c r="IK57" s="112"/>
      <c r="IL57" s="112"/>
      <c r="IM57" s="112"/>
      <c r="IN57" s="112"/>
      <c r="IO57" s="112"/>
      <c r="IP57" s="112"/>
      <c r="IQ57" s="112"/>
      <c r="IR57" s="112"/>
      <c r="IS57" s="112"/>
      <c r="IT57" s="112"/>
    </row>
    <row r="58" spans="1:254" s="113" customFormat="1" x14ac:dyDescent="0.2">
      <c r="A58" s="60"/>
      <c r="B58" s="110"/>
      <c r="C58" s="111"/>
      <c r="D58" s="63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112"/>
      <c r="AS58" s="112"/>
      <c r="AT58" s="112"/>
      <c r="AU58" s="112"/>
      <c r="AV58" s="112"/>
      <c r="AW58" s="112"/>
      <c r="AX58" s="112"/>
      <c r="AY58" s="112"/>
      <c r="AZ58" s="112"/>
      <c r="BA58" s="112"/>
      <c r="BB58" s="112"/>
      <c r="BC58" s="112"/>
      <c r="BD58" s="112"/>
      <c r="BE58" s="112"/>
      <c r="BF58" s="112"/>
      <c r="BG58" s="112"/>
      <c r="BH58" s="112"/>
      <c r="BI58" s="112"/>
      <c r="BJ58" s="112"/>
      <c r="BK58" s="112"/>
      <c r="BL58" s="112"/>
      <c r="BM58" s="112"/>
      <c r="BN58" s="112"/>
      <c r="BO58" s="112"/>
      <c r="BP58" s="112"/>
      <c r="BQ58" s="112"/>
      <c r="BR58" s="112"/>
      <c r="BS58" s="112"/>
      <c r="BT58" s="112"/>
      <c r="BU58" s="112"/>
      <c r="BV58" s="112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L58" s="112"/>
      <c r="CM58" s="112"/>
      <c r="CN58" s="112"/>
      <c r="CO58" s="112"/>
      <c r="CP58" s="112"/>
      <c r="CQ58" s="112"/>
      <c r="CR58" s="112"/>
      <c r="CS58" s="112"/>
      <c r="CT58" s="112"/>
      <c r="CU58" s="112"/>
      <c r="CV58" s="112"/>
      <c r="CW58" s="112"/>
      <c r="CX58" s="112"/>
      <c r="CY58" s="112"/>
      <c r="CZ58" s="112"/>
      <c r="DA58" s="112"/>
      <c r="DB58" s="112"/>
      <c r="DC58" s="112"/>
      <c r="DD58" s="112"/>
      <c r="DE58" s="112"/>
      <c r="DF58" s="112"/>
      <c r="DG58" s="112"/>
      <c r="DH58" s="112"/>
      <c r="DI58" s="112"/>
      <c r="DJ58" s="112"/>
      <c r="DK58" s="112"/>
      <c r="DL58" s="112"/>
      <c r="DM58" s="112"/>
      <c r="DN58" s="112"/>
      <c r="DO58" s="112"/>
      <c r="DP58" s="112"/>
      <c r="DQ58" s="112"/>
      <c r="DR58" s="112"/>
      <c r="DS58" s="112"/>
      <c r="DT58" s="112"/>
      <c r="DU58" s="112"/>
      <c r="DV58" s="112"/>
      <c r="DW58" s="112"/>
      <c r="DX58" s="112"/>
      <c r="DY58" s="112"/>
      <c r="DZ58" s="112"/>
      <c r="EA58" s="112"/>
      <c r="EB58" s="112"/>
      <c r="EC58" s="112"/>
      <c r="ED58" s="112"/>
      <c r="EE58" s="112"/>
      <c r="EF58" s="112"/>
      <c r="EG58" s="112"/>
      <c r="EH58" s="112"/>
      <c r="EI58" s="112"/>
      <c r="EJ58" s="112"/>
      <c r="EK58" s="112"/>
      <c r="EL58" s="112"/>
      <c r="EM58" s="112"/>
      <c r="EN58" s="112"/>
      <c r="EO58" s="112"/>
      <c r="EP58" s="112"/>
      <c r="EQ58" s="112"/>
      <c r="ER58" s="112"/>
      <c r="ES58" s="112"/>
      <c r="ET58" s="112"/>
      <c r="EU58" s="112"/>
      <c r="EV58" s="112"/>
      <c r="EW58" s="112"/>
      <c r="EX58" s="112"/>
      <c r="EY58" s="112"/>
      <c r="EZ58" s="112"/>
      <c r="FA58" s="112"/>
      <c r="FB58" s="112"/>
      <c r="FC58" s="112"/>
      <c r="FD58" s="112"/>
      <c r="FE58" s="112"/>
      <c r="FF58" s="112"/>
      <c r="FG58" s="112"/>
      <c r="FH58" s="112"/>
      <c r="FI58" s="112"/>
      <c r="FJ58" s="112"/>
      <c r="FK58" s="112"/>
      <c r="FL58" s="112"/>
      <c r="FM58" s="112"/>
      <c r="FN58" s="112"/>
      <c r="FO58" s="112"/>
      <c r="FP58" s="112"/>
      <c r="FQ58" s="112"/>
      <c r="FR58" s="112"/>
      <c r="FS58" s="112"/>
      <c r="FT58" s="112"/>
      <c r="FU58" s="112"/>
      <c r="FV58" s="112"/>
      <c r="FW58" s="112"/>
      <c r="FX58" s="112"/>
      <c r="FY58" s="112"/>
      <c r="FZ58" s="112"/>
      <c r="GA58" s="112"/>
      <c r="GB58" s="112"/>
      <c r="GC58" s="112"/>
      <c r="GD58" s="112"/>
      <c r="GE58" s="112"/>
      <c r="GF58" s="112"/>
      <c r="GG58" s="112"/>
      <c r="GH58" s="112"/>
      <c r="GI58" s="112"/>
      <c r="GJ58" s="112"/>
      <c r="GK58" s="112"/>
      <c r="GL58" s="112"/>
      <c r="GM58" s="112"/>
      <c r="GN58" s="112"/>
      <c r="GO58" s="112"/>
      <c r="GP58" s="112"/>
      <c r="GQ58" s="112"/>
      <c r="GR58" s="112"/>
      <c r="GS58" s="112"/>
      <c r="GT58" s="112"/>
      <c r="GU58" s="112"/>
      <c r="GV58" s="112"/>
      <c r="GW58" s="112"/>
      <c r="GX58" s="112"/>
      <c r="GY58" s="112"/>
      <c r="GZ58" s="112"/>
      <c r="HA58" s="112"/>
      <c r="HB58" s="112"/>
      <c r="HC58" s="112"/>
      <c r="HD58" s="112"/>
      <c r="HE58" s="112"/>
      <c r="HF58" s="112"/>
      <c r="HG58" s="112"/>
      <c r="HH58" s="112"/>
      <c r="HI58" s="112"/>
      <c r="HJ58" s="112"/>
      <c r="HK58" s="112"/>
      <c r="HL58" s="112"/>
      <c r="HM58" s="112"/>
      <c r="HN58" s="112"/>
      <c r="HO58" s="112"/>
      <c r="HP58" s="112"/>
      <c r="HQ58" s="112"/>
      <c r="HR58" s="112"/>
      <c r="HS58" s="112"/>
      <c r="HT58" s="112"/>
      <c r="HU58" s="112"/>
      <c r="HV58" s="112"/>
      <c r="HW58" s="112"/>
      <c r="HX58" s="112"/>
      <c r="HY58" s="112"/>
      <c r="HZ58" s="112"/>
      <c r="IA58" s="112"/>
      <c r="IB58" s="112"/>
      <c r="IC58" s="112"/>
      <c r="ID58" s="112"/>
      <c r="IE58" s="112"/>
      <c r="IF58" s="112"/>
      <c r="IG58" s="112"/>
      <c r="IH58" s="112"/>
      <c r="II58" s="112"/>
      <c r="IJ58" s="112"/>
      <c r="IK58" s="112"/>
      <c r="IL58" s="112"/>
      <c r="IM58" s="112"/>
      <c r="IN58" s="112"/>
      <c r="IO58" s="112"/>
      <c r="IP58" s="112"/>
      <c r="IQ58" s="112"/>
      <c r="IR58" s="112"/>
      <c r="IS58" s="112"/>
      <c r="IT58" s="112"/>
    </row>
    <row r="59" spans="1:254" s="113" customFormat="1" x14ac:dyDescent="0.2">
      <c r="A59" s="60"/>
      <c r="B59" s="110"/>
      <c r="C59" s="111"/>
      <c r="D59" s="63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112"/>
      <c r="AT59" s="112"/>
      <c r="AU59" s="112"/>
      <c r="AV59" s="112"/>
      <c r="AW59" s="112"/>
      <c r="AX59" s="112"/>
      <c r="AY59" s="112"/>
      <c r="AZ59" s="112"/>
      <c r="BA59" s="112"/>
      <c r="BB59" s="112"/>
      <c r="BC59" s="112"/>
      <c r="BD59" s="112"/>
      <c r="BE59" s="112"/>
      <c r="BF59" s="112"/>
      <c r="BG59" s="112"/>
      <c r="BH59" s="112"/>
      <c r="BI59" s="112"/>
      <c r="BJ59" s="112"/>
      <c r="BK59" s="112"/>
      <c r="BL59" s="112"/>
      <c r="BM59" s="112"/>
      <c r="BN59" s="112"/>
      <c r="BO59" s="112"/>
      <c r="BP59" s="112"/>
      <c r="BQ59" s="112"/>
      <c r="BR59" s="112"/>
      <c r="BS59" s="112"/>
      <c r="BT59" s="112"/>
      <c r="BU59" s="112"/>
      <c r="BV59" s="112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L59" s="112"/>
      <c r="CM59" s="112"/>
      <c r="CN59" s="112"/>
      <c r="CO59" s="112"/>
      <c r="CP59" s="112"/>
      <c r="CQ59" s="112"/>
      <c r="CR59" s="112"/>
      <c r="CS59" s="112"/>
      <c r="CT59" s="112"/>
      <c r="CU59" s="112"/>
      <c r="CV59" s="112"/>
      <c r="CW59" s="112"/>
      <c r="CX59" s="112"/>
      <c r="CY59" s="112"/>
      <c r="CZ59" s="112"/>
      <c r="DA59" s="112"/>
      <c r="DB59" s="112"/>
      <c r="DC59" s="112"/>
      <c r="DD59" s="112"/>
      <c r="DE59" s="112"/>
      <c r="DF59" s="112"/>
      <c r="DG59" s="112"/>
      <c r="DH59" s="112"/>
      <c r="DI59" s="112"/>
      <c r="DJ59" s="112"/>
      <c r="DK59" s="112"/>
      <c r="DL59" s="112"/>
      <c r="DM59" s="112"/>
      <c r="DN59" s="112"/>
      <c r="DO59" s="112"/>
      <c r="DP59" s="112"/>
      <c r="DQ59" s="112"/>
      <c r="DR59" s="112"/>
      <c r="DS59" s="112"/>
      <c r="DT59" s="112"/>
      <c r="DU59" s="112"/>
      <c r="DV59" s="112"/>
      <c r="DW59" s="112"/>
      <c r="DX59" s="112"/>
      <c r="DY59" s="112"/>
      <c r="DZ59" s="112"/>
      <c r="EA59" s="112"/>
      <c r="EB59" s="112"/>
      <c r="EC59" s="112"/>
      <c r="ED59" s="112"/>
      <c r="EE59" s="112"/>
      <c r="EF59" s="112"/>
      <c r="EG59" s="112"/>
      <c r="EH59" s="112"/>
      <c r="EI59" s="112"/>
      <c r="EJ59" s="112"/>
      <c r="EK59" s="112"/>
      <c r="EL59" s="112"/>
      <c r="EM59" s="112"/>
      <c r="EN59" s="112"/>
      <c r="EO59" s="112"/>
      <c r="EP59" s="112"/>
      <c r="EQ59" s="112"/>
      <c r="ER59" s="112"/>
      <c r="ES59" s="112"/>
      <c r="ET59" s="112"/>
      <c r="EU59" s="112"/>
      <c r="EV59" s="112"/>
      <c r="EW59" s="112"/>
      <c r="EX59" s="112"/>
      <c r="EY59" s="112"/>
      <c r="EZ59" s="112"/>
      <c r="FA59" s="112"/>
      <c r="FB59" s="112"/>
      <c r="FC59" s="112"/>
      <c r="FD59" s="112"/>
      <c r="FE59" s="112"/>
      <c r="FF59" s="112"/>
      <c r="FG59" s="112"/>
      <c r="FH59" s="112"/>
      <c r="FI59" s="112"/>
      <c r="FJ59" s="112"/>
      <c r="FK59" s="112"/>
      <c r="FL59" s="112"/>
      <c r="FM59" s="112"/>
      <c r="FN59" s="112"/>
      <c r="FO59" s="112"/>
      <c r="FP59" s="112"/>
      <c r="FQ59" s="112"/>
      <c r="FR59" s="112"/>
      <c r="FS59" s="112"/>
      <c r="FT59" s="112"/>
      <c r="FU59" s="112"/>
      <c r="FV59" s="112"/>
      <c r="FW59" s="112"/>
      <c r="FX59" s="112"/>
      <c r="FY59" s="112"/>
      <c r="FZ59" s="112"/>
      <c r="GA59" s="112"/>
      <c r="GB59" s="112"/>
      <c r="GC59" s="112"/>
      <c r="GD59" s="112"/>
      <c r="GE59" s="112"/>
      <c r="GF59" s="112"/>
      <c r="GG59" s="112"/>
      <c r="GH59" s="112"/>
      <c r="GI59" s="112"/>
      <c r="GJ59" s="112"/>
      <c r="GK59" s="112"/>
      <c r="GL59" s="112"/>
      <c r="GM59" s="112"/>
      <c r="GN59" s="112"/>
      <c r="GO59" s="112"/>
      <c r="GP59" s="112"/>
      <c r="GQ59" s="112"/>
      <c r="GR59" s="112"/>
      <c r="GS59" s="112"/>
      <c r="GT59" s="112"/>
      <c r="GU59" s="112"/>
      <c r="GV59" s="112"/>
      <c r="GW59" s="112"/>
      <c r="GX59" s="112"/>
      <c r="GY59" s="112"/>
      <c r="GZ59" s="112"/>
      <c r="HA59" s="112"/>
      <c r="HB59" s="112"/>
      <c r="HC59" s="112"/>
      <c r="HD59" s="112"/>
      <c r="HE59" s="112"/>
      <c r="HF59" s="112"/>
      <c r="HG59" s="112"/>
      <c r="HH59" s="112"/>
      <c r="HI59" s="112"/>
      <c r="HJ59" s="112"/>
      <c r="HK59" s="112"/>
      <c r="HL59" s="112"/>
      <c r="HM59" s="112"/>
      <c r="HN59" s="112"/>
      <c r="HO59" s="112"/>
      <c r="HP59" s="112"/>
      <c r="HQ59" s="112"/>
      <c r="HR59" s="112"/>
      <c r="HS59" s="112"/>
      <c r="HT59" s="112"/>
      <c r="HU59" s="112"/>
      <c r="HV59" s="112"/>
      <c r="HW59" s="112"/>
      <c r="HX59" s="112"/>
      <c r="HY59" s="112"/>
      <c r="HZ59" s="112"/>
      <c r="IA59" s="112"/>
      <c r="IB59" s="112"/>
      <c r="IC59" s="112"/>
      <c r="ID59" s="112"/>
      <c r="IE59" s="112"/>
      <c r="IF59" s="112"/>
      <c r="IG59" s="112"/>
      <c r="IH59" s="112"/>
      <c r="II59" s="112"/>
      <c r="IJ59" s="112"/>
      <c r="IK59" s="112"/>
      <c r="IL59" s="112"/>
      <c r="IM59" s="112"/>
      <c r="IN59" s="112"/>
      <c r="IO59" s="112"/>
      <c r="IP59" s="112"/>
      <c r="IQ59" s="112"/>
      <c r="IR59" s="112"/>
      <c r="IS59" s="112"/>
      <c r="IT59" s="112"/>
    </row>
    <row r="60" spans="1:254" s="113" customFormat="1" x14ac:dyDescent="0.2">
      <c r="A60" s="60"/>
      <c r="B60" s="110"/>
      <c r="C60" s="111"/>
      <c r="D60" s="63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2"/>
      <c r="AX60" s="112"/>
      <c r="AY60" s="112"/>
      <c r="AZ60" s="112"/>
      <c r="BA60" s="112"/>
      <c r="BB60" s="112"/>
      <c r="BC60" s="112"/>
      <c r="BD60" s="112"/>
      <c r="BE60" s="112"/>
      <c r="BF60" s="112"/>
      <c r="BG60" s="112"/>
      <c r="BH60" s="112"/>
      <c r="BI60" s="112"/>
      <c r="BJ60" s="112"/>
      <c r="BK60" s="112"/>
      <c r="BL60" s="112"/>
      <c r="BM60" s="112"/>
      <c r="BN60" s="112"/>
      <c r="BO60" s="112"/>
      <c r="BP60" s="112"/>
      <c r="BQ60" s="112"/>
      <c r="BR60" s="112"/>
      <c r="BS60" s="112"/>
      <c r="BT60" s="112"/>
      <c r="BU60" s="112"/>
      <c r="BV60" s="112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L60" s="112"/>
      <c r="CM60" s="112"/>
      <c r="CN60" s="112"/>
      <c r="CO60" s="112"/>
      <c r="CP60" s="112"/>
      <c r="CQ60" s="112"/>
      <c r="CR60" s="112"/>
      <c r="CS60" s="112"/>
      <c r="CT60" s="112"/>
      <c r="CU60" s="112"/>
      <c r="CV60" s="112"/>
      <c r="CW60" s="112"/>
      <c r="CX60" s="112"/>
      <c r="CY60" s="112"/>
      <c r="CZ60" s="112"/>
      <c r="DA60" s="112"/>
      <c r="DB60" s="112"/>
      <c r="DC60" s="112"/>
      <c r="DD60" s="112"/>
      <c r="DE60" s="112"/>
      <c r="DF60" s="112"/>
      <c r="DG60" s="112"/>
      <c r="DH60" s="112"/>
      <c r="DI60" s="112"/>
      <c r="DJ60" s="112"/>
      <c r="DK60" s="112"/>
      <c r="DL60" s="112"/>
      <c r="DM60" s="112"/>
      <c r="DN60" s="112"/>
      <c r="DO60" s="112"/>
      <c r="DP60" s="112"/>
      <c r="DQ60" s="112"/>
      <c r="DR60" s="112"/>
      <c r="DS60" s="112"/>
      <c r="DT60" s="112"/>
      <c r="DU60" s="112"/>
      <c r="DV60" s="112"/>
      <c r="DW60" s="112"/>
      <c r="DX60" s="112"/>
      <c r="DY60" s="112"/>
      <c r="DZ60" s="112"/>
      <c r="EA60" s="112"/>
      <c r="EB60" s="112"/>
      <c r="EC60" s="112"/>
      <c r="ED60" s="112"/>
      <c r="EE60" s="112"/>
      <c r="EF60" s="112"/>
      <c r="EG60" s="112"/>
      <c r="EH60" s="112"/>
      <c r="EI60" s="112"/>
      <c r="EJ60" s="112"/>
      <c r="EK60" s="112"/>
      <c r="EL60" s="112"/>
      <c r="EM60" s="112"/>
      <c r="EN60" s="112"/>
      <c r="EO60" s="112"/>
      <c r="EP60" s="112"/>
      <c r="EQ60" s="112"/>
      <c r="ER60" s="112"/>
      <c r="ES60" s="112"/>
      <c r="ET60" s="112"/>
      <c r="EU60" s="112"/>
      <c r="EV60" s="112"/>
      <c r="EW60" s="112"/>
      <c r="EX60" s="112"/>
      <c r="EY60" s="112"/>
      <c r="EZ60" s="112"/>
      <c r="FA60" s="112"/>
      <c r="FB60" s="112"/>
      <c r="FC60" s="112"/>
      <c r="FD60" s="112"/>
      <c r="FE60" s="112"/>
      <c r="FF60" s="112"/>
      <c r="FG60" s="112"/>
      <c r="FH60" s="112"/>
      <c r="FI60" s="112"/>
      <c r="FJ60" s="112"/>
      <c r="FK60" s="112"/>
      <c r="FL60" s="112"/>
      <c r="FM60" s="112"/>
      <c r="FN60" s="112"/>
      <c r="FO60" s="112"/>
      <c r="FP60" s="112"/>
      <c r="FQ60" s="112"/>
      <c r="FR60" s="112"/>
      <c r="FS60" s="112"/>
      <c r="FT60" s="112"/>
      <c r="FU60" s="112"/>
      <c r="FV60" s="112"/>
      <c r="FW60" s="112"/>
      <c r="FX60" s="112"/>
      <c r="FY60" s="112"/>
      <c r="FZ60" s="112"/>
      <c r="GA60" s="112"/>
      <c r="GB60" s="112"/>
      <c r="GC60" s="112"/>
      <c r="GD60" s="112"/>
      <c r="GE60" s="112"/>
      <c r="GF60" s="112"/>
      <c r="GG60" s="112"/>
      <c r="GH60" s="112"/>
      <c r="GI60" s="112"/>
      <c r="GJ60" s="112"/>
      <c r="GK60" s="112"/>
      <c r="GL60" s="112"/>
      <c r="GM60" s="112"/>
      <c r="GN60" s="112"/>
      <c r="GO60" s="112"/>
      <c r="GP60" s="112"/>
      <c r="GQ60" s="112"/>
      <c r="GR60" s="112"/>
      <c r="GS60" s="112"/>
      <c r="GT60" s="112"/>
      <c r="GU60" s="112"/>
      <c r="GV60" s="112"/>
      <c r="GW60" s="112"/>
      <c r="GX60" s="112"/>
      <c r="GY60" s="112"/>
      <c r="GZ60" s="112"/>
      <c r="HA60" s="112"/>
      <c r="HB60" s="112"/>
      <c r="HC60" s="112"/>
      <c r="HD60" s="112"/>
      <c r="HE60" s="112"/>
      <c r="HF60" s="112"/>
      <c r="HG60" s="112"/>
      <c r="HH60" s="112"/>
      <c r="HI60" s="112"/>
      <c r="HJ60" s="112"/>
      <c r="HK60" s="112"/>
      <c r="HL60" s="112"/>
      <c r="HM60" s="112"/>
      <c r="HN60" s="112"/>
      <c r="HO60" s="112"/>
      <c r="HP60" s="112"/>
      <c r="HQ60" s="112"/>
      <c r="HR60" s="112"/>
      <c r="HS60" s="112"/>
      <c r="HT60" s="112"/>
      <c r="HU60" s="112"/>
      <c r="HV60" s="112"/>
      <c r="HW60" s="112"/>
      <c r="HX60" s="112"/>
      <c r="HY60" s="112"/>
      <c r="HZ60" s="112"/>
      <c r="IA60" s="112"/>
      <c r="IB60" s="112"/>
      <c r="IC60" s="112"/>
      <c r="ID60" s="112"/>
      <c r="IE60" s="112"/>
      <c r="IF60" s="112"/>
      <c r="IG60" s="112"/>
      <c r="IH60" s="112"/>
      <c r="II60" s="112"/>
      <c r="IJ60" s="112"/>
      <c r="IK60" s="112"/>
      <c r="IL60" s="112"/>
      <c r="IM60" s="112"/>
      <c r="IN60" s="112"/>
      <c r="IO60" s="112"/>
      <c r="IP60" s="112"/>
      <c r="IQ60" s="112"/>
      <c r="IR60" s="112"/>
      <c r="IS60" s="112"/>
      <c r="IT60" s="112"/>
    </row>
    <row r="61" spans="1:254" s="113" customFormat="1" x14ac:dyDescent="0.2">
      <c r="A61" s="60"/>
      <c r="B61" s="110"/>
      <c r="C61" s="111"/>
      <c r="D61" s="63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112"/>
      <c r="AS61" s="112"/>
      <c r="AT61" s="112"/>
      <c r="AU61" s="112"/>
      <c r="AV61" s="112"/>
      <c r="AW61" s="112"/>
      <c r="AX61" s="112"/>
      <c r="AY61" s="112"/>
      <c r="AZ61" s="112"/>
      <c r="BA61" s="112"/>
      <c r="BB61" s="112"/>
      <c r="BC61" s="112"/>
      <c r="BD61" s="112"/>
      <c r="BE61" s="112"/>
      <c r="BF61" s="112"/>
      <c r="BG61" s="112"/>
      <c r="BH61" s="112"/>
      <c r="BI61" s="112"/>
      <c r="BJ61" s="112"/>
      <c r="BK61" s="112"/>
      <c r="BL61" s="112"/>
      <c r="BM61" s="112"/>
      <c r="BN61" s="112"/>
      <c r="BO61" s="112"/>
      <c r="BP61" s="112"/>
      <c r="BQ61" s="112"/>
      <c r="BR61" s="112"/>
      <c r="BS61" s="112"/>
      <c r="BT61" s="112"/>
      <c r="BU61" s="112"/>
      <c r="BV61" s="112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L61" s="112"/>
      <c r="CM61" s="112"/>
      <c r="CN61" s="112"/>
      <c r="CO61" s="112"/>
      <c r="CP61" s="112"/>
      <c r="CQ61" s="112"/>
      <c r="CR61" s="112"/>
      <c r="CS61" s="112"/>
      <c r="CT61" s="112"/>
      <c r="CU61" s="112"/>
      <c r="CV61" s="112"/>
      <c r="CW61" s="112"/>
      <c r="CX61" s="112"/>
      <c r="CY61" s="112"/>
      <c r="CZ61" s="112"/>
      <c r="DA61" s="112"/>
      <c r="DB61" s="112"/>
      <c r="DC61" s="112"/>
      <c r="DD61" s="112"/>
      <c r="DE61" s="112"/>
      <c r="DF61" s="112"/>
      <c r="DG61" s="112"/>
      <c r="DH61" s="112"/>
      <c r="DI61" s="112"/>
      <c r="DJ61" s="112"/>
      <c r="DK61" s="112"/>
      <c r="DL61" s="112"/>
      <c r="DM61" s="112"/>
      <c r="DN61" s="112"/>
      <c r="DO61" s="112"/>
      <c r="DP61" s="112"/>
      <c r="DQ61" s="112"/>
      <c r="DR61" s="112"/>
      <c r="DS61" s="112"/>
      <c r="DT61" s="112"/>
      <c r="DU61" s="112"/>
      <c r="DV61" s="112"/>
      <c r="DW61" s="112"/>
      <c r="DX61" s="112"/>
      <c r="DY61" s="112"/>
      <c r="DZ61" s="112"/>
      <c r="EA61" s="112"/>
      <c r="EB61" s="112"/>
      <c r="EC61" s="112"/>
      <c r="ED61" s="112"/>
      <c r="EE61" s="112"/>
      <c r="EF61" s="112"/>
      <c r="EG61" s="112"/>
      <c r="EH61" s="112"/>
      <c r="EI61" s="112"/>
      <c r="EJ61" s="112"/>
      <c r="EK61" s="112"/>
      <c r="EL61" s="112"/>
      <c r="EM61" s="112"/>
      <c r="EN61" s="112"/>
      <c r="EO61" s="112"/>
      <c r="EP61" s="112"/>
      <c r="EQ61" s="112"/>
      <c r="ER61" s="112"/>
      <c r="ES61" s="112"/>
      <c r="ET61" s="112"/>
      <c r="EU61" s="112"/>
      <c r="EV61" s="112"/>
      <c r="EW61" s="112"/>
      <c r="EX61" s="112"/>
      <c r="EY61" s="112"/>
      <c r="EZ61" s="112"/>
      <c r="FA61" s="112"/>
      <c r="FB61" s="112"/>
      <c r="FC61" s="112"/>
      <c r="FD61" s="112"/>
      <c r="FE61" s="112"/>
      <c r="FF61" s="112"/>
      <c r="FG61" s="112"/>
      <c r="FH61" s="112"/>
      <c r="FI61" s="112"/>
      <c r="FJ61" s="112"/>
      <c r="FK61" s="112"/>
      <c r="FL61" s="112"/>
      <c r="FM61" s="112"/>
      <c r="FN61" s="112"/>
      <c r="FO61" s="112"/>
      <c r="FP61" s="112"/>
      <c r="FQ61" s="112"/>
      <c r="FR61" s="112"/>
      <c r="FS61" s="112"/>
      <c r="FT61" s="112"/>
      <c r="FU61" s="112"/>
      <c r="FV61" s="112"/>
      <c r="FW61" s="112"/>
      <c r="FX61" s="112"/>
      <c r="FY61" s="112"/>
      <c r="FZ61" s="112"/>
      <c r="GA61" s="112"/>
      <c r="GB61" s="112"/>
      <c r="GC61" s="112"/>
      <c r="GD61" s="112"/>
      <c r="GE61" s="112"/>
      <c r="GF61" s="112"/>
      <c r="GG61" s="112"/>
      <c r="GH61" s="112"/>
      <c r="GI61" s="112"/>
      <c r="GJ61" s="112"/>
      <c r="GK61" s="112"/>
      <c r="GL61" s="112"/>
      <c r="GM61" s="112"/>
      <c r="GN61" s="112"/>
      <c r="GO61" s="112"/>
      <c r="GP61" s="112"/>
      <c r="GQ61" s="112"/>
      <c r="GR61" s="112"/>
      <c r="GS61" s="112"/>
      <c r="GT61" s="112"/>
      <c r="GU61" s="112"/>
      <c r="GV61" s="112"/>
      <c r="GW61" s="112"/>
      <c r="GX61" s="112"/>
      <c r="GY61" s="112"/>
      <c r="GZ61" s="112"/>
      <c r="HA61" s="112"/>
      <c r="HB61" s="112"/>
      <c r="HC61" s="112"/>
      <c r="HD61" s="112"/>
      <c r="HE61" s="112"/>
      <c r="HF61" s="112"/>
      <c r="HG61" s="112"/>
      <c r="HH61" s="112"/>
      <c r="HI61" s="112"/>
      <c r="HJ61" s="112"/>
      <c r="HK61" s="112"/>
      <c r="HL61" s="112"/>
      <c r="HM61" s="112"/>
      <c r="HN61" s="112"/>
      <c r="HO61" s="112"/>
      <c r="HP61" s="112"/>
      <c r="HQ61" s="112"/>
      <c r="HR61" s="112"/>
      <c r="HS61" s="112"/>
      <c r="HT61" s="112"/>
      <c r="HU61" s="112"/>
      <c r="HV61" s="112"/>
      <c r="HW61" s="112"/>
      <c r="HX61" s="112"/>
      <c r="HY61" s="112"/>
      <c r="HZ61" s="112"/>
      <c r="IA61" s="112"/>
      <c r="IB61" s="112"/>
      <c r="IC61" s="112"/>
      <c r="ID61" s="112"/>
      <c r="IE61" s="112"/>
      <c r="IF61" s="112"/>
      <c r="IG61" s="112"/>
      <c r="IH61" s="112"/>
      <c r="II61" s="112"/>
      <c r="IJ61" s="112"/>
      <c r="IK61" s="112"/>
      <c r="IL61" s="112"/>
      <c r="IM61" s="112"/>
      <c r="IN61" s="112"/>
      <c r="IO61" s="112"/>
      <c r="IP61" s="112"/>
      <c r="IQ61" s="112"/>
      <c r="IR61" s="112"/>
      <c r="IS61" s="112"/>
      <c r="IT61" s="112"/>
    </row>
    <row r="62" spans="1:254" s="113" customFormat="1" x14ac:dyDescent="0.2">
      <c r="A62" s="60"/>
      <c r="B62" s="110"/>
      <c r="C62" s="111"/>
      <c r="D62" s="63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112"/>
      <c r="AS62" s="112"/>
      <c r="AT62" s="112"/>
      <c r="AU62" s="112"/>
      <c r="AV62" s="112"/>
      <c r="AW62" s="112"/>
      <c r="AX62" s="112"/>
      <c r="AY62" s="112"/>
      <c r="AZ62" s="112"/>
      <c r="BA62" s="112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2"/>
      <c r="BN62" s="112"/>
      <c r="BO62" s="112"/>
      <c r="BP62" s="112"/>
      <c r="BQ62" s="112"/>
      <c r="BR62" s="112"/>
      <c r="BS62" s="112"/>
      <c r="BT62" s="112"/>
      <c r="BU62" s="112"/>
      <c r="BV62" s="112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L62" s="112"/>
      <c r="CM62" s="112"/>
      <c r="CN62" s="112"/>
      <c r="CO62" s="112"/>
      <c r="CP62" s="112"/>
      <c r="CQ62" s="112"/>
      <c r="CR62" s="112"/>
      <c r="CS62" s="112"/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2"/>
      <c r="DI62" s="112"/>
      <c r="DJ62" s="112"/>
      <c r="DK62" s="112"/>
      <c r="DL62" s="112"/>
      <c r="DM62" s="112"/>
      <c r="DN62" s="112"/>
      <c r="DO62" s="112"/>
      <c r="DP62" s="112"/>
      <c r="DQ62" s="112"/>
      <c r="DR62" s="112"/>
      <c r="DS62" s="112"/>
      <c r="DT62" s="112"/>
      <c r="DU62" s="112"/>
      <c r="DV62" s="112"/>
      <c r="DW62" s="112"/>
      <c r="DX62" s="112"/>
      <c r="DY62" s="112"/>
      <c r="DZ62" s="112"/>
      <c r="EA62" s="112"/>
      <c r="EB62" s="112"/>
      <c r="EC62" s="112"/>
      <c r="ED62" s="112"/>
      <c r="EE62" s="112"/>
      <c r="EF62" s="112"/>
      <c r="EG62" s="112"/>
      <c r="EH62" s="112"/>
      <c r="EI62" s="112"/>
      <c r="EJ62" s="112"/>
      <c r="EK62" s="112"/>
      <c r="EL62" s="112"/>
      <c r="EM62" s="112"/>
      <c r="EN62" s="112"/>
      <c r="EO62" s="112"/>
      <c r="EP62" s="112"/>
      <c r="EQ62" s="112"/>
      <c r="ER62" s="112"/>
      <c r="ES62" s="112"/>
      <c r="ET62" s="112"/>
      <c r="EU62" s="112"/>
      <c r="EV62" s="112"/>
      <c r="EW62" s="112"/>
      <c r="EX62" s="112"/>
      <c r="EY62" s="112"/>
      <c r="EZ62" s="112"/>
      <c r="FA62" s="112"/>
      <c r="FB62" s="112"/>
      <c r="FC62" s="112"/>
      <c r="FD62" s="112"/>
      <c r="FE62" s="112"/>
      <c r="FF62" s="112"/>
      <c r="FG62" s="112"/>
      <c r="FH62" s="112"/>
      <c r="FI62" s="112"/>
      <c r="FJ62" s="112"/>
      <c r="FK62" s="112"/>
      <c r="FL62" s="112"/>
      <c r="FM62" s="112"/>
      <c r="FN62" s="112"/>
      <c r="FO62" s="112"/>
      <c r="FP62" s="112"/>
      <c r="FQ62" s="112"/>
      <c r="FR62" s="112"/>
      <c r="FS62" s="112"/>
      <c r="FT62" s="112"/>
      <c r="FU62" s="112"/>
      <c r="FV62" s="112"/>
      <c r="FW62" s="112"/>
      <c r="FX62" s="112"/>
      <c r="FY62" s="112"/>
      <c r="FZ62" s="112"/>
      <c r="GA62" s="112"/>
      <c r="GB62" s="112"/>
      <c r="GC62" s="112"/>
      <c r="GD62" s="112"/>
      <c r="GE62" s="112"/>
      <c r="GF62" s="112"/>
      <c r="GG62" s="112"/>
      <c r="GH62" s="112"/>
      <c r="GI62" s="112"/>
      <c r="GJ62" s="112"/>
      <c r="GK62" s="112"/>
      <c r="GL62" s="112"/>
      <c r="GM62" s="112"/>
      <c r="GN62" s="112"/>
      <c r="GO62" s="112"/>
      <c r="GP62" s="112"/>
      <c r="GQ62" s="112"/>
      <c r="GR62" s="112"/>
      <c r="GS62" s="112"/>
      <c r="GT62" s="112"/>
      <c r="GU62" s="112"/>
      <c r="GV62" s="112"/>
      <c r="GW62" s="112"/>
      <c r="GX62" s="112"/>
      <c r="GY62" s="112"/>
      <c r="GZ62" s="112"/>
      <c r="HA62" s="112"/>
      <c r="HB62" s="112"/>
      <c r="HC62" s="112"/>
      <c r="HD62" s="112"/>
      <c r="HE62" s="112"/>
      <c r="HF62" s="112"/>
      <c r="HG62" s="112"/>
      <c r="HH62" s="112"/>
      <c r="HI62" s="112"/>
      <c r="HJ62" s="112"/>
      <c r="HK62" s="112"/>
      <c r="HL62" s="112"/>
      <c r="HM62" s="112"/>
      <c r="HN62" s="112"/>
      <c r="HO62" s="112"/>
      <c r="HP62" s="112"/>
      <c r="HQ62" s="112"/>
      <c r="HR62" s="112"/>
      <c r="HS62" s="112"/>
      <c r="HT62" s="112"/>
      <c r="HU62" s="112"/>
      <c r="HV62" s="112"/>
      <c r="HW62" s="112"/>
      <c r="HX62" s="112"/>
      <c r="HY62" s="112"/>
      <c r="HZ62" s="112"/>
      <c r="IA62" s="112"/>
      <c r="IB62" s="112"/>
      <c r="IC62" s="112"/>
      <c r="ID62" s="112"/>
      <c r="IE62" s="112"/>
      <c r="IF62" s="112"/>
      <c r="IG62" s="112"/>
      <c r="IH62" s="112"/>
      <c r="II62" s="112"/>
      <c r="IJ62" s="112"/>
      <c r="IK62" s="112"/>
      <c r="IL62" s="112"/>
      <c r="IM62" s="112"/>
      <c r="IN62" s="112"/>
      <c r="IO62" s="112"/>
      <c r="IP62" s="112"/>
      <c r="IQ62" s="112"/>
      <c r="IR62" s="112"/>
      <c r="IS62" s="112"/>
      <c r="IT62" s="112"/>
    </row>
    <row r="63" spans="1:254" s="113" customFormat="1" x14ac:dyDescent="0.2">
      <c r="A63" s="60"/>
      <c r="B63" s="110"/>
      <c r="C63" s="111"/>
      <c r="D63" s="63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112"/>
      <c r="AS63" s="112"/>
      <c r="AT63" s="112"/>
      <c r="AU63" s="112"/>
      <c r="AV63" s="112"/>
      <c r="AW63" s="112"/>
      <c r="AX63" s="112"/>
      <c r="AY63" s="112"/>
      <c r="AZ63" s="112"/>
      <c r="BA63" s="112"/>
      <c r="BB63" s="112"/>
      <c r="BC63" s="112"/>
      <c r="BD63" s="112"/>
      <c r="BE63" s="112"/>
      <c r="BF63" s="112"/>
      <c r="BG63" s="112"/>
      <c r="BH63" s="112"/>
      <c r="BI63" s="112"/>
      <c r="BJ63" s="112"/>
      <c r="BK63" s="112"/>
      <c r="BL63" s="112"/>
      <c r="BM63" s="112"/>
      <c r="BN63" s="112"/>
      <c r="BO63" s="112"/>
      <c r="BP63" s="112"/>
      <c r="BQ63" s="112"/>
      <c r="BR63" s="112"/>
      <c r="BS63" s="112"/>
      <c r="BT63" s="112"/>
      <c r="BU63" s="112"/>
      <c r="BV63" s="112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L63" s="112"/>
      <c r="CM63" s="112"/>
      <c r="CN63" s="112"/>
      <c r="CO63" s="112"/>
      <c r="CP63" s="112"/>
      <c r="CQ63" s="112"/>
      <c r="CR63" s="112"/>
      <c r="CS63" s="112"/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2"/>
      <c r="DI63" s="112"/>
      <c r="DJ63" s="112"/>
      <c r="DK63" s="112"/>
      <c r="DL63" s="112"/>
      <c r="DM63" s="112"/>
      <c r="DN63" s="112"/>
      <c r="DO63" s="112"/>
      <c r="DP63" s="112"/>
      <c r="DQ63" s="112"/>
      <c r="DR63" s="112"/>
      <c r="DS63" s="112"/>
      <c r="DT63" s="112"/>
      <c r="DU63" s="112"/>
      <c r="DV63" s="112"/>
      <c r="DW63" s="112"/>
      <c r="DX63" s="112"/>
      <c r="DY63" s="112"/>
      <c r="DZ63" s="112"/>
      <c r="EA63" s="112"/>
      <c r="EB63" s="112"/>
      <c r="EC63" s="112"/>
      <c r="ED63" s="112"/>
      <c r="EE63" s="112"/>
      <c r="EF63" s="112"/>
      <c r="EG63" s="112"/>
      <c r="EH63" s="112"/>
      <c r="EI63" s="112"/>
      <c r="EJ63" s="112"/>
      <c r="EK63" s="112"/>
      <c r="EL63" s="112"/>
      <c r="EM63" s="112"/>
      <c r="EN63" s="112"/>
      <c r="EO63" s="112"/>
      <c r="EP63" s="112"/>
      <c r="EQ63" s="112"/>
      <c r="ER63" s="112"/>
      <c r="ES63" s="112"/>
      <c r="ET63" s="112"/>
      <c r="EU63" s="112"/>
      <c r="EV63" s="112"/>
      <c r="EW63" s="112"/>
      <c r="EX63" s="112"/>
      <c r="EY63" s="112"/>
      <c r="EZ63" s="112"/>
      <c r="FA63" s="112"/>
      <c r="FB63" s="112"/>
      <c r="FC63" s="112"/>
      <c r="FD63" s="112"/>
      <c r="FE63" s="112"/>
      <c r="FF63" s="112"/>
      <c r="FG63" s="112"/>
      <c r="FH63" s="112"/>
      <c r="FI63" s="112"/>
      <c r="FJ63" s="112"/>
      <c r="FK63" s="112"/>
      <c r="FL63" s="112"/>
      <c r="FM63" s="112"/>
      <c r="FN63" s="112"/>
      <c r="FO63" s="112"/>
      <c r="FP63" s="112"/>
      <c r="FQ63" s="112"/>
      <c r="FR63" s="112"/>
      <c r="FS63" s="112"/>
      <c r="FT63" s="112"/>
      <c r="FU63" s="112"/>
      <c r="FV63" s="112"/>
      <c r="FW63" s="112"/>
      <c r="FX63" s="112"/>
      <c r="FY63" s="112"/>
      <c r="FZ63" s="112"/>
      <c r="GA63" s="112"/>
      <c r="GB63" s="112"/>
      <c r="GC63" s="112"/>
      <c r="GD63" s="112"/>
      <c r="GE63" s="112"/>
      <c r="GF63" s="112"/>
      <c r="GG63" s="112"/>
      <c r="GH63" s="112"/>
      <c r="GI63" s="112"/>
      <c r="GJ63" s="112"/>
      <c r="GK63" s="112"/>
      <c r="GL63" s="112"/>
      <c r="GM63" s="112"/>
      <c r="GN63" s="112"/>
      <c r="GO63" s="112"/>
      <c r="GP63" s="112"/>
      <c r="GQ63" s="112"/>
      <c r="GR63" s="112"/>
      <c r="GS63" s="112"/>
      <c r="GT63" s="112"/>
      <c r="GU63" s="112"/>
      <c r="GV63" s="112"/>
      <c r="GW63" s="112"/>
      <c r="GX63" s="112"/>
      <c r="GY63" s="112"/>
      <c r="GZ63" s="112"/>
      <c r="HA63" s="112"/>
      <c r="HB63" s="112"/>
      <c r="HC63" s="112"/>
      <c r="HD63" s="112"/>
      <c r="HE63" s="112"/>
      <c r="HF63" s="112"/>
      <c r="HG63" s="112"/>
      <c r="HH63" s="112"/>
      <c r="HI63" s="112"/>
      <c r="HJ63" s="112"/>
      <c r="HK63" s="112"/>
      <c r="HL63" s="112"/>
      <c r="HM63" s="112"/>
      <c r="HN63" s="112"/>
      <c r="HO63" s="112"/>
      <c r="HP63" s="112"/>
      <c r="HQ63" s="112"/>
      <c r="HR63" s="112"/>
      <c r="HS63" s="112"/>
      <c r="HT63" s="112"/>
      <c r="HU63" s="112"/>
      <c r="HV63" s="112"/>
      <c r="HW63" s="112"/>
      <c r="HX63" s="112"/>
      <c r="HY63" s="112"/>
      <c r="HZ63" s="112"/>
      <c r="IA63" s="112"/>
      <c r="IB63" s="112"/>
      <c r="IC63" s="112"/>
      <c r="ID63" s="112"/>
      <c r="IE63" s="112"/>
      <c r="IF63" s="112"/>
      <c r="IG63" s="112"/>
      <c r="IH63" s="112"/>
      <c r="II63" s="112"/>
      <c r="IJ63" s="112"/>
      <c r="IK63" s="112"/>
      <c r="IL63" s="112"/>
      <c r="IM63" s="112"/>
      <c r="IN63" s="112"/>
      <c r="IO63" s="112"/>
      <c r="IP63" s="112"/>
      <c r="IQ63" s="112"/>
      <c r="IR63" s="112"/>
      <c r="IS63" s="112"/>
      <c r="IT63" s="112"/>
    </row>
    <row r="64" spans="1:254" s="113" customFormat="1" x14ac:dyDescent="0.2">
      <c r="A64" s="60"/>
      <c r="B64" s="110"/>
      <c r="C64" s="111"/>
      <c r="D64" s="63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  <c r="AS64" s="112"/>
      <c r="AT64" s="112"/>
      <c r="AU64" s="112"/>
      <c r="AV64" s="112"/>
      <c r="AW64" s="112"/>
      <c r="AX64" s="112"/>
      <c r="AY64" s="112"/>
      <c r="AZ64" s="112"/>
      <c r="BA64" s="112"/>
      <c r="BB64" s="112"/>
      <c r="BC64" s="112"/>
      <c r="BD64" s="112"/>
      <c r="BE64" s="112"/>
      <c r="BF64" s="112"/>
      <c r="BG64" s="112"/>
      <c r="BH64" s="112"/>
      <c r="BI64" s="112"/>
      <c r="BJ64" s="112"/>
      <c r="BK64" s="112"/>
      <c r="BL64" s="112"/>
      <c r="BM64" s="112"/>
      <c r="BN64" s="112"/>
      <c r="BO64" s="112"/>
      <c r="BP64" s="112"/>
      <c r="BQ64" s="112"/>
      <c r="BR64" s="112"/>
      <c r="BS64" s="112"/>
      <c r="BT64" s="112"/>
      <c r="BU64" s="112"/>
      <c r="BV64" s="112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L64" s="112"/>
      <c r="CM64" s="112"/>
      <c r="CN64" s="112"/>
      <c r="CO64" s="112"/>
      <c r="CP64" s="112"/>
      <c r="CQ64" s="112"/>
      <c r="CR64" s="112"/>
      <c r="CS64" s="112"/>
      <c r="CT64" s="112"/>
      <c r="CU64" s="112"/>
      <c r="CV64" s="112"/>
      <c r="CW64" s="112"/>
      <c r="CX64" s="112"/>
      <c r="CY64" s="112"/>
      <c r="CZ64" s="112"/>
      <c r="DA64" s="112"/>
      <c r="DB64" s="112"/>
      <c r="DC64" s="112"/>
      <c r="DD64" s="112"/>
      <c r="DE64" s="112"/>
      <c r="DF64" s="112"/>
      <c r="DG64" s="112"/>
      <c r="DH64" s="112"/>
      <c r="DI64" s="112"/>
      <c r="DJ64" s="112"/>
      <c r="DK64" s="112"/>
      <c r="DL64" s="112"/>
      <c r="DM64" s="112"/>
      <c r="DN64" s="112"/>
      <c r="DO64" s="112"/>
      <c r="DP64" s="112"/>
      <c r="DQ64" s="112"/>
      <c r="DR64" s="112"/>
      <c r="DS64" s="112"/>
      <c r="DT64" s="112"/>
      <c r="DU64" s="112"/>
      <c r="DV64" s="112"/>
      <c r="DW64" s="112"/>
      <c r="DX64" s="112"/>
      <c r="DY64" s="112"/>
      <c r="DZ64" s="112"/>
      <c r="EA64" s="112"/>
      <c r="EB64" s="112"/>
      <c r="EC64" s="112"/>
      <c r="ED64" s="112"/>
      <c r="EE64" s="112"/>
      <c r="EF64" s="112"/>
      <c r="EG64" s="112"/>
      <c r="EH64" s="112"/>
      <c r="EI64" s="112"/>
      <c r="EJ64" s="112"/>
      <c r="EK64" s="112"/>
      <c r="EL64" s="112"/>
      <c r="EM64" s="112"/>
      <c r="EN64" s="112"/>
      <c r="EO64" s="112"/>
      <c r="EP64" s="112"/>
      <c r="EQ64" s="112"/>
      <c r="ER64" s="112"/>
      <c r="ES64" s="112"/>
      <c r="ET64" s="112"/>
      <c r="EU64" s="112"/>
      <c r="EV64" s="112"/>
      <c r="EW64" s="112"/>
      <c r="EX64" s="112"/>
      <c r="EY64" s="112"/>
      <c r="EZ64" s="112"/>
      <c r="FA64" s="112"/>
      <c r="FB64" s="112"/>
      <c r="FC64" s="112"/>
      <c r="FD64" s="112"/>
      <c r="FE64" s="112"/>
      <c r="FF64" s="112"/>
      <c r="FG64" s="112"/>
      <c r="FH64" s="112"/>
      <c r="FI64" s="112"/>
      <c r="FJ64" s="112"/>
      <c r="FK64" s="112"/>
      <c r="FL64" s="112"/>
      <c r="FM64" s="112"/>
      <c r="FN64" s="112"/>
      <c r="FO64" s="112"/>
      <c r="FP64" s="112"/>
      <c r="FQ64" s="112"/>
      <c r="FR64" s="112"/>
      <c r="FS64" s="112"/>
      <c r="FT64" s="112"/>
      <c r="FU64" s="112"/>
      <c r="FV64" s="112"/>
      <c r="FW64" s="112"/>
      <c r="FX64" s="112"/>
      <c r="FY64" s="112"/>
      <c r="FZ64" s="112"/>
      <c r="GA64" s="112"/>
      <c r="GB64" s="112"/>
      <c r="GC64" s="112"/>
      <c r="GD64" s="112"/>
      <c r="GE64" s="112"/>
      <c r="GF64" s="112"/>
      <c r="GG64" s="112"/>
      <c r="GH64" s="112"/>
      <c r="GI64" s="112"/>
      <c r="GJ64" s="112"/>
      <c r="GK64" s="112"/>
      <c r="GL64" s="112"/>
      <c r="GM64" s="112"/>
      <c r="GN64" s="112"/>
      <c r="GO64" s="112"/>
      <c r="GP64" s="112"/>
      <c r="GQ64" s="112"/>
      <c r="GR64" s="112"/>
      <c r="GS64" s="112"/>
      <c r="GT64" s="112"/>
      <c r="GU64" s="112"/>
      <c r="GV64" s="112"/>
      <c r="GW64" s="112"/>
      <c r="GX64" s="112"/>
      <c r="GY64" s="112"/>
      <c r="GZ64" s="112"/>
      <c r="HA64" s="112"/>
      <c r="HB64" s="112"/>
      <c r="HC64" s="112"/>
      <c r="HD64" s="112"/>
      <c r="HE64" s="112"/>
      <c r="HF64" s="112"/>
      <c r="HG64" s="112"/>
      <c r="HH64" s="112"/>
      <c r="HI64" s="112"/>
      <c r="HJ64" s="112"/>
      <c r="HK64" s="112"/>
      <c r="HL64" s="112"/>
      <c r="HM64" s="112"/>
      <c r="HN64" s="112"/>
      <c r="HO64" s="112"/>
      <c r="HP64" s="112"/>
      <c r="HQ64" s="112"/>
      <c r="HR64" s="112"/>
      <c r="HS64" s="112"/>
      <c r="HT64" s="112"/>
      <c r="HU64" s="112"/>
      <c r="HV64" s="112"/>
      <c r="HW64" s="112"/>
      <c r="HX64" s="112"/>
      <c r="HY64" s="112"/>
      <c r="HZ64" s="112"/>
      <c r="IA64" s="112"/>
      <c r="IB64" s="112"/>
      <c r="IC64" s="112"/>
      <c r="ID64" s="112"/>
      <c r="IE64" s="112"/>
      <c r="IF64" s="112"/>
      <c r="IG64" s="112"/>
      <c r="IH64" s="112"/>
      <c r="II64" s="112"/>
      <c r="IJ64" s="112"/>
      <c r="IK64" s="112"/>
      <c r="IL64" s="112"/>
      <c r="IM64" s="112"/>
      <c r="IN64" s="112"/>
      <c r="IO64" s="112"/>
      <c r="IP64" s="112"/>
      <c r="IQ64" s="112"/>
      <c r="IR64" s="112"/>
      <c r="IS64" s="112"/>
      <c r="IT64" s="112"/>
    </row>
    <row r="65" spans="1:254" s="113" customFormat="1" x14ac:dyDescent="0.2">
      <c r="A65" s="60"/>
      <c r="B65" s="110"/>
      <c r="C65" s="111"/>
      <c r="D65" s="63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R65" s="112"/>
      <c r="AS65" s="112"/>
      <c r="AT65" s="112"/>
      <c r="AU65" s="112"/>
      <c r="AV65" s="112"/>
      <c r="AW65" s="112"/>
      <c r="AX65" s="112"/>
      <c r="AY65" s="112"/>
      <c r="AZ65" s="112"/>
      <c r="BA65" s="112"/>
      <c r="BB65" s="112"/>
      <c r="BC65" s="112"/>
      <c r="BD65" s="112"/>
      <c r="BE65" s="112"/>
      <c r="BF65" s="112"/>
      <c r="BG65" s="112"/>
      <c r="BH65" s="112"/>
      <c r="BI65" s="112"/>
      <c r="BJ65" s="112"/>
      <c r="BK65" s="112"/>
      <c r="BL65" s="112"/>
      <c r="BM65" s="112"/>
      <c r="BN65" s="112"/>
      <c r="BO65" s="112"/>
      <c r="BP65" s="112"/>
      <c r="BQ65" s="112"/>
      <c r="BR65" s="112"/>
      <c r="BS65" s="112"/>
      <c r="BT65" s="112"/>
      <c r="BU65" s="112"/>
      <c r="BV65" s="112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L65" s="112"/>
      <c r="CM65" s="112"/>
      <c r="CN65" s="112"/>
      <c r="CO65" s="112"/>
      <c r="CP65" s="112"/>
      <c r="CQ65" s="112"/>
      <c r="CR65" s="112"/>
      <c r="CS65" s="112"/>
      <c r="CT65" s="112"/>
      <c r="CU65" s="112"/>
      <c r="CV65" s="112"/>
      <c r="CW65" s="112"/>
      <c r="CX65" s="112"/>
      <c r="CY65" s="112"/>
      <c r="CZ65" s="112"/>
      <c r="DA65" s="112"/>
      <c r="DB65" s="112"/>
      <c r="DC65" s="112"/>
      <c r="DD65" s="112"/>
      <c r="DE65" s="112"/>
      <c r="DF65" s="112"/>
      <c r="DG65" s="112"/>
      <c r="DH65" s="112"/>
      <c r="DI65" s="112"/>
      <c r="DJ65" s="112"/>
      <c r="DK65" s="112"/>
      <c r="DL65" s="112"/>
      <c r="DM65" s="112"/>
      <c r="DN65" s="112"/>
      <c r="DO65" s="112"/>
      <c r="DP65" s="112"/>
      <c r="DQ65" s="112"/>
      <c r="DR65" s="112"/>
      <c r="DS65" s="112"/>
      <c r="DT65" s="112"/>
      <c r="DU65" s="112"/>
      <c r="DV65" s="112"/>
      <c r="DW65" s="112"/>
      <c r="DX65" s="112"/>
      <c r="DY65" s="112"/>
      <c r="DZ65" s="112"/>
      <c r="EA65" s="112"/>
      <c r="EB65" s="112"/>
      <c r="EC65" s="112"/>
      <c r="ED65" s="112"/>
      <c r="EE65" s="112"/>
      <c r="EF65" s="112"/>
      <c r="EG65" s="112"/>
      <c r="EH65" s="112"/>
      <c r="EI65" s="112"/>
      <c r="EJ65" s="112"/>
      <c r="EK65" s="112"/>
      <c r="EL65" s="112"/>
      <c r="EM65" s="112"/>
      <c r="EN65" s="112"/>
      <c r="EO65" s="112"/>
      <c r="EP65" s="112"/>
      <c r="EQ65" s="112"/>
      <c r="ER65" s="112"/>
      <c r="ES65" s="112"/>
      <c r="ET65" s="112"/>
      <c r="EU65" s="112"/>
      <c r="EV65" s="112"/>
      <c r="EW65" s="112"/>
      <c r="EX65" s="112"/>
      <c r="EY65" s="112"/>
      <c r="EZ65" s="112"/>
      <c r="FA65" s="112"/>
      <c r="FB65" s="112"/>
      <c r="FC65" s="112"/>
      <c r="FD65" s="112"/>
      <c r="FE65" s="112"/>
      <c r="FF65" s="112"/>
      <c r="FG65" s="112"/>
      <c r="FH65" s="112"/>
      <c r="FI65" s="112"/>
      <c r="FJ65" s="112"/>
      <c r="FK65" s="112"/>
      <c r="FL65" s="112"/>
      <c r="FM65" s="112"/>
      <c r="FN65" s="112"/>
      <c r="FO65" s="112"/>
      <c r="FP65" s="112"/>
      <c r="FQ65" s="112"/>
      <c r="FR65" s="112"/>
      <c r="FS65" s="112"/>
      <c r="FT65" s="112"/>
      <c r="FU65" s="112"/>
      <c r="FV65" s="112"/>
      <c r="FW65" s="112"/>
      <c r="FX65" s="112"/>
      <c r="FY65" s="112"/>
      <c r="FZ65" s="112"/>
      <c r="GA65" s="112"/>
      <c r="GB65" s="112"/>
      <c r="GC65" s="112"/>
      <c r="GD65" s="112"/>
      <c r="GE65" s="112"/>
      <c r="GF65" s="112"/>
      <c r="GG65" s="112"/>
      <c r="GH65" s="112"/>
      <c r="GI65" s="112"/>
      <c r="GJ65" s="112"/>
      <c r="GK65" s="112"/>
      <c r="GL65" s="112"/>
      <c r="GM65" s="112"/>
      <c r="GN65" s="112"/>
      <c r="GO65" s="112"/>
      <c r="GP65" s="112"/>
      <c r="GQ65" s="112"/>
      <c r="GR65" s="112"/>
      <c r="GS65" s="112"/>
      <c r="GT65" s="112"/>
      <c r="GU65" s="112"/>
      <c r="GV65" s="112"/>
      <c r="GW65" s="112"/>
      <c r="GX65" s="112"/>
      <c r="GY65" s="112"/>
      <c r="GZ65" s="112"/>
      <c r="HA65" s="112"/>
      <c r="HB65" s="112"/>
      <c r="HC65" s="112"/>
      <c r="HD65" s="112"/>
      <c r="HE65" s="112"/>
      <c r="HF65" s="112"/>
      <c r="HG65" s="112"/>
      <c r="HH65" s="112"/>
      <c r="HI65" s="112"/>
      <c r="HJ65" s="112"/>
      <c r="HK65" s="112"/>
      <c r="HL65" s="112"/>
      <c r="HM65" s="112"/>
      <c r="HN65" s="112"/>
      <c r="HO65" s="112"/>
      <c r="HP65" s="112"/>
      <c r="HQ65" s="112"/>
      <c r="HR65" s="112"/>
      <c r="HS65" s="112"/>
      <c r="HT65" s="112"/>
      <c r="HU65" s="112"/>
      <c r="HV65" s="112"/>
      <c r="HW65" s="112"/>
      <c r="HX65" s="112"/>
      <c r="HY65" s="112"/>
      <c r="HZ65" s="112"/>
      <c r="IA65" s="112"/>
      <c r="IB65" s="112"/>
      <c r="IC65" s="112"/>
      <c r="ID65" s="112"/>
      <c r="IE65" s="112"/>
      <c r="IF65" s="112"/>
      <c r="IG65" s="112"/>
      <c r="IH65" s="112"/>
      <c r="II65" s="112"/>
      <c r="IJ65" s="112"/>
      <c r="IK65" s="112"/>
      <c r="IL65" s="112"/>
      <c r="IM65" s="112"/>
      <c r="IN65" s="112"/>
      <c r="IO65" s="112"/>
      <c r="IP65" s="112"/>
      <c r="IQ65" s="112"/>
      <c r="IR65" s="112"/>
      <c r="IS65" s="112"/>
      <c r="IT65" s="112"/>
    </row>
    <row r="66" spans="1:254" s="113" customFormat="1" x14ac:dyDescent="0.2">
      <c r="A66" s="60"/>
      <c r="B66" s="110"/>
      <c r="C66" s="111"/>
      <c r="D66" s="63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R66" s="112"/>
      <c r="AS66" s="112"/>
      <c r="AT66" s="112"/>
      <c r="AU66" s="112"/>
      <c r="AV66" s="112"/>
      <c r="AW66" s="112"/>
      <c r="AX66" s="112"/>
      <c r="AY66" s="112"/>
      <c r="AZ66" s="112"/>
      <c r="BA66" s="112"/>
      <c r="BB66" s="112"/>
      <c r="BC66" s="112"/>
      <c r="BD66" s="112"/>
      <c r="BE66" s="112"/>
      <c r="BF66" s="112"/>
      <c r="BG66" s="112"/>
      <c r="BH66" s="112"/>
      <c r="BI66" s="112"/>
      <c r="BJ66" s="112"/>
      <c r="BK66" s="112"/>
      <c r="BL66" s="112"/>
      <c r="BM66" s="112"/>
      <c r="BN66" s="112"/>
      <c r="BO66" s="112"/>
      <c r="BP66" s="112"/>
      <c r="BQ66" s="112"/>
      <c r="BR66" s="112"/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L66" s="112"/>
      <c r="CM66" s="112"/>
      <c r="CN66" s="112"/>
      <c r="CO66" s="112"/>
      <c r="CP66" s="112"/>
      <c r="CQ66" s="112"/>
      <c r="CR66" s="112"/>
      <c r="CS66" s="112"/>
      <c r="CT66" s="112"/>
      <c r="CU66" s="112"/>
      <c r="CV66" s="112"/>
      <c r="CW66" s="112"/>
      <c r="CX66" s="112"/>
      <c r="CY66" s="112"/>
      <c r="CZ66" s="112"/>
      <c r="DA66" s="112"/>
      <c r="DB66" s="112"/>
      <c r="DC66" s="112"/>
      <c r="DD66" s="112"/>
      <c r="DE66" s="112"/>
      <c r="DF66" s="112"/>
      <c r="DG66" s="112"/>
      <c r="DH66" s="112"/>
      <c r="DI66" s="112"/>
      <c r="DJ66" s="112"/>
      <c r="DK66" s="112"/>
      <c r="DL66" s="112"/>
      <c r="DM66" s="112"/>
      <c r="DN66" s="112"/>
      <c r="DO66" s="112"/>
      <c r="DP66" s="112"/>
      <c r="DQ66" s="112"/>
      <c r="DR66" s="112"/>
      <c r="DS66" s="112"/>
      <c r="DT66" s="112"/>
      <c r="DU66" s="112"/>
      <c r="DV66" s="112"/>
      <c r="DW66" s="112"/>
      <c r="DX66" s="112"/>
      <c r="DY66" s="112"/>
      <c r="DZ66" s="112"/>
      <c r="EA66" s="112"/>
      <c r="EB66" s="112"/>
      <c r="EC66" s="112"/>
      <c r="ED66" s="112"/>
      <c r="EE66" s="112"/>
      <c r="EF66" s="112"/>
      <c r="EG66" s="112"/>
      <c r="EH66" s="112"/>
      <c r="EI66" s="112"/>
      <c r="EJ66" s="112"/>
      <c r="EK66" s="112"/>
      <c r="EL66" s="112"/>
      <c r="EM66" s="112"/>
      <c r="EN66" s="112"/>
      <c r="EO66" s="112"/>
      <c r="EP66" s="112"/>
      <c r="EQ66" s="112"/>
      <c r="ER66" s="112"/>
      <c r="ES66" s="112"/>
      <c r="ET66" s="112"/>
      <c r="EU66" s="112"/>
      <c r="EV66" s="112"/>
      <c r="EW66" s="112"/>
      <c r="EX66" s="112"/>
      <c r="EY66" s="112"/>
      <c r="EZ66" s="112"/>
      <c r="FA66" s="112"/>
      <c r="FB66" s="112"/>
      <c r="FC66" s="112"/>
      <c r="FD66" s="112"/>
      <c r="FE66" s="112"/>
      <c r="FF66" s="112"/>
      <c r="FG66" s="112"/>
      <c r="FH66" s="112"/>
      <c r="FI66" s="112"/>
      <c r="FJ66" s="112"/>
      <c r="FK66" s="112"/>
      <c r="FL66" s="112"/>
      <c r="FM66" s="112"/>
      <c r="FN66" s="112"/>
      <c r="FO66" s="112"/>
      <c r="FP66" s="112"/>
      <c r="FQ66" s="112"/>
      <c r="FR66" s="112"/>
      <c r="FS66" s="112"/>
      <c r="FT66" s="112"/>
      <c r="FU66" s="112"/>
      <c r="FV66" s="112"/>
      <c r="FW66" s="112"/>
      <c r="FX66" s="112"/>
      <c r="FY66" s="112"/>
      <c r="FZ66" s="112"/>
      <c r="GA66" s="112"/>
      <c r="GB66" s="112"/>
      <c r="GC66" s="112"/>
      <c r="GD66" s="112"/>
      <c r="GE66" s="112"/>
      <c r="GF66" s="112"/>
      <c r="GG66" s="112"/>
      <c r="GH66" s="112"/>
      <c r="GI66" s="112"/>
      <c r="GJ66" s="112"/>
      <c r="GK66" s="112"/>
      <c r="GL66" s="112"/>
      <c r="GM66" s="112"/>
      <c r="GN66" s="112"/>
      <c r="GO66" s="112"/>
      <c r="GP66" s="112"/>
      <c r="GQ66" s="112"/>
      <c r="GR66" s="112"/>
      <c r="GS66" s="112"/>
      <c r="GT66" s="112"/>
      <c r="GU66" s="112"/>
      <c r="GV66" s="112"/>
      <c r="GW66" s="112"/>
      <c r="GX66" s="112"/>
      <c r="GY66" s="112"/>
      <c r="GZ66" s="112"/>
      <c r="HA66" s="112"/>
      <c r="HB66" s="112"/>
      <c r="HC66" s="112"/>
      <c r="HD66" s="112"/>
      <c r="HE66" s="112"/>
      <c r="HF66" s="112"/>
      <c r="HG66" s="112"/>
      <c r="HH66" s="112"/>
      <c r="HI66" s="112"/>
      <c r="HJ66" s="112"/>
      <c r="HK66" s="112"/>
      <c r="HL66" s="112"/>
      <c r="HM66" s="112"/>
      <c r="HN66" s="112"/>
      <c r="HO66" s="112"/>
      <c r="HP66" s="112"/>
      <c r="HQ66" s="112"/>
      <c r="HR66" s="112"/>
      <c r="HS66" s="112"/>
      <c r="HT66" s="112"/>
      <c r="HU66" s="112"/>
      <c r="HV66" s="112"/>
      <c r="HW66" s="112"/>
      <c r="HX66" s="112"/>
      <c r="HY66" s="112"/>
      <c r="HZ66" s="112"/>
      <c r="IA66" s="112"/>
      <c r="IB66" s="112"/>
      <c r="IC66" s="112"/>
      <c r="ID66" s="112"/>
      <c r="IE66" s="112"/>
      <c r="IF66" s="112"/>
      <c r="IG66" s="112"/>
      <c r="IH66" s="112"/>
      <c r="II66" s="112"/>
      <c r="IJ66" s="112"/>
      <c r="IK66" s="112"/>
      <c r="IL66" s="112"/>
      <c r="IM66" s="112"/>
      <c r="IN66" s="112"/>
      <c r="IO66" s="112"/>
      <c r="IP66" s="112"/>
      <c r="IQ66" s="112"/>
      <c r="IR66" s="112"/>
      <c r="IS66" s="112"/>
      <c r="IT66" s="112"/>
    </row>
    <row r="67" spans="1:254" s="113" customFormat="1" x14ac:dyDescent="0.2">
      <c r="A67" s="60"/>
      <c r="B67" s="110"/>
      <c r="C67" s="111"/>
      <c r="D67" s="63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112"/>
      <c r="AS67" s="112"/>
      <c r="AT67" s="112"/>
      <c r="AU67" s="112"/>
      <c r="AV67" s="112"/>
      <c r="AW67" s="112"/>
      <c r="AX67" s="112"/>
      <c r="AY67" s="112"/>
      <c r="AZ67" s="112"/>
      <c r="BA67" s="112"/>
      <c r="BB67" s="112"/>
      <c r="BC67" s="112"/>
      <c r="BD67" s="112"/>
      <c r="BE67" s="112"/>
      <c r="BF67" s="112"/>
      <c r="BG67" s="112"/>
      <c r="BH67" s="112"/>
      <c r="BI67" s="112"/>
      <c r="BJ67" s="112"/>
      <c r="BK67" s="112"/>
      <c r="BL67" s="112"/>
      <c r="BM67" s="112"/>
      <c r="BN67" s="112"/>
      <c r="BO67" s="112"/>
      <c r="BP67" s="112"/>
      <c r="BQ67" s="112"/>
      <c r="BR67" s="112"/>
      <c r="BS67" s="112"/>
      <c r="BT67" s="112"/>
      <c r="BU67" s="112"/>
      <c r="BV67" s="112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L67" s="112"/>
      <c r="CM67" s="112"/>
      <c r="CN67" s="112"/>
      <c r="CO67" s="112"/>
      <c r="CP67" s="112"/>
      <c r="CQ67" s="112"/>
      <c r="CR67" s="112"/>
      <c r="CS67" s="112"/>
      <c r="CT67" s="112"/>
      <c r="CU67" s="112"/>
      <c r="CV67" s="112"/>
      <c r="CW67" s="112"/>
      <c r="CX67" s="112"/>
      <c r="CY67" s="112"/>
      <c r="CZ67" s="112"/>
      <c r="DA67" s="112"/>
      <c r="DB67" s="112"/>
      <c r="DC67" s="112"/>
      <c r="DD67" s="112"/>
      <c r="DE67" s="112"/>
      <c r="DF67" s="112"/>
      <c r="DG67" s="112"/>
      <c r="DH67" s="112"/>
      <c r="DI67" s="112"/>
      <c r="DJ67" s="112"/>
      <c r="DK67" s="112"/>
      <c r="DL67" s="112"/>
      <c r="DM67" s="112"/>
      <c r="DN67" s="112"/>
      <c r="DO67" s="112"/>
      <c r="DP67" s="112"/>
      <c r="DQ67" s="112"/>
      <c r="DR67" s="112"/>
      <c r="DS67" s="112"/>
      <c r="DT67" s="112"/>
      <c r="DU67" s="112"/>
      <c r="DV67" s="112"/>
      <c r="DW67" s="112"/>
      <c r="DX67" s="112"/>
      <c r="DY67" s="112"/>
      <c r="DZ67" s="112"/>
      <c r="EA67" s="112"/>
      <c r="EB67" s="112"/>
      <c r="EC67" s="112"/>
      <c r="ED67" s="112"/>
      <c r="EE67" s="112"/>
      <c r="EF67" s="112"/>
      <c r="EG67" s="112"/>
      <c r="EH67" s="112"/>
      <c r="EI67" s="112"/>
      <c r="EJ67" s="112"/>
      <c r="EK67" s="112"/>
      <c r="EL67" s="112"/>
      <c r="EM67" s="112"/>
      <c r="EN67" s="112"/>
      <c r="EO67" s="112"/>
      <c r="EP67" s="112"/>
      <c r="EQ67" s="112"/>
      <c r="ER67" s="112"/>
      <c r="ES67" s="112"/>
      <c r="ET67" s="112"/>
      <c r="EU67" s="112"/>
      <c r="EV67" s="112"/>
      <c r="EW67" s="112"/>
      <c r="EX67" s="112"/>
      <c r="EY67" s="112"/>
      <c r="EZ67" s="112"/>
      <c r="FA67" s="112"/>
      <c r="FB67" s="112"/>
      <c r="FC67" s="112"/>
      <c r="FD67" s="112"/>
      <c r="FE67" s="112"/>
      <c r="FF67" s="112"/>
      <c r="FG67" s="112"/>
      <c r="FH67" s="112"/>
      <c r="FI67" s="112"/>
      <c r="FJ67" s="112"/>
      <c r="FK67" s="112"/>
      <c r="FL67" s="112"/>
      <c r="FM67" s="112"/>
      <c r="FN67" s="112"/>
      <c r="FO67" s="112"/>
      <c r="FP67" s="112"/>
      <c r="FQ67" s="112"/>
      <c r="FR67" s="112"/>
      <c r="FS67" s="112"/>
      <c r="FT67" s="112"/>
      <c r="FU67" s="112"/>
      <c r="FV67" s="112"/>
      <c r="FW67" s="112"/>
      <c r="FX67" s="112"/>
      <c r="FY67" s="112"/>
      <c r="FZ67" s="112"/>
      <c r="GA67" s="112"/>
      <c r="GB67" s="112"/>
      <c r="GC67" s="112"/>
      <c r="GD67" s="112"/>
      <c r="GE67" s="112"/>
      <c r="GF67" s="112"/>
      <c r="GG67" s="112"/>
      <c r="GH67" s="112"/>
      <c r="GI67" s="112"/>
      <c r="GJ67" s="112"/>
      <c r="GK67" s="112"/>
      <c r="GL67" s="112"/>
      <c r="GM67" s="112"/>
      <c r="GN67" s="112"/>
      <c r="GO67" s="112"/>
      <c r="GP67" s="112"/>
      <c r="GQ67" s="112"/>
      <c r="GR67" s="112"/>
      <c r="GS67" s="112"/>
      <c r="GT67" s="112"/>
      <c r="GU67" s="112"/>
      <c r="GV67" s="112"/>
      <c r="GW67" s="112"/>
      <c r="GX67" s="112"/>
      <c r="GY67" s="112"/>
      <c r="GZ67" s="112"/>
      <c r="HA67" s="112"/>
      <c r="HB67" s="112"/>
      <c r="HC67" s="112"/>
      <c r="HD67" s="112"/>
      <c r="HE67" s="112"/>
      <c r="HF67" s="112"/>
      <c r="HG67" s="112"/>
      <c r="HH67" s="112"/>
      <c r="HI67" s="112"/>
      <c r="HJ67" s="112"/>
      <c r="HK67" s="112"/>
      <c r="HL67" s="112"/>
      <c r="HM67" s="112"/>
      <c r="HN67" s="112"/>
      <c r="HO67" s="112"/>
      <c r="HP67" s="112"/>
      <c r="HQ67" s="112"/>
      <c r="HR67" s="112"/>
      <c r="HS67" s="112"/>
      <c r="HT67" s="112"/>
      <c r="HU67" s="112"/>
      <c r="HV67" s="112"/>
      <c r="HW67" s="112"/>
      <c r="HX67" s="112"/>
      <c r="HY67" s="112"/>
      <c r="HZ67" s="112"/>
      <c r="IA67" s="112"/>
      <c r="IB67" s="112"/>
      <c r="IC67" s="112"/>
      <c r="ID67" s="112"/>
      <c r="IE67" s="112"/>
      <c r="IF67" s="112"/>
      <c r="IG67" s="112"/>
      <c r="IH67" s="112"/>
      <c r="II67" s="112"/>
      <c r="IJ67" s="112"/>
      <c r="IK67" s="112"/>
      <c r="IL67" s="112"/>
      <c r="IM67" s="112"/>
      <c r="IN67" s="112"/>
      <c r="IO67" s="112"/>
      <c r="IP67" s="112"/>
      <c r="IQ67" s="112"/>
      <c r="IR67" s="112"/>
      <c r="IS67" s="112"/>
      <c r="IT67" s="112"/>
    </row>
    <row r="68" spans="1:254" s="113" customFormat="1" x14ac:dyDescent="0.2">
      <c r="A68" s="60"/>
      <c r="B68" s="110"/>
      <c r="C68" s="111"/>
      <c r="D68" s="63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  <c r="AN68" s="112"/>
      <c r="AO68" s="112"/>
      <c r="AP68" s="112"/>
      <c r="AQ68" s="112"/>
      <c r="AR68" s="112"/>
      <c r="AS68" s="112"/>
      <c r="AT68" s="112"/>
      <c r="AU68" s="112"/>
      <c r="AV68" s="112"/>
      <c r="AW68" s="112"/>
      <c r="AX68" s="112"/>
      <c r="AY68" s="112"/>
      <c r="AZ68" s="112"/>
      <c r="BA68" s="112"/>
      <c r="BB68" s="112"/>
      <c r="BC68" s="112"/>
      <c r="BD68" s="112"/>
      <c r="BE68" s="112"/>
      <c r="BF68" s="112"/>
      <c r="BG68" s="112"/>
      <c r="BH68" s="112"/>
      <c r="BI68" s="112"/>
      <c r="BJ68" s="112"/>
      <c r="BK68" s="112"/>
      <c r="BL68" s="112"/>
      <c r="BM68" s="112"/>
      <c r="BN68" s="112"/>
      <c r="BO68" s="112"/>
      <c r="BP68" s="112"/>
      <c r="BQ68" s="112"/>
      <c r="BR68" s="112"/>
      <c r="BS68" s="112"/>
      <c r="BT68" s="112"/>
      <c r="BU68" s="112"/>
      <c r="BV68" s="112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L68" s="112"/>
      <c r="CM68" s="112"/>
      <c r="CN68" s="112"/>
      <c r="CO68" s="112"/>
      <c r="CP68" s="112"/>
      <c r="CQ68" s="112"/>
      <c r="CR68" s="112"/>
      <c r="CS68" s="112"/>
      <c r="CT68" s="112"/>
      <c r="CU68" s="112"/>
      <c r="CV68" s="112"/>
      <c r="CW68" s="112"/>
      <c r="CX68" s="112"/>
      <c r="CY68" s="112"/>
      <c r="CZ68" s="112"/>
      <c r="DA68" s="112"/>
      <c r="DB68" s="112"/>
      <c r="DC68" s="112"/>
      <c r="DD68" s="112"/>
      <c r="DE68" s="112"/>
      <c r="DF68" s="112"/>
      <c r="DG68" s="112"/>
      <c r="DH68" s="112"/>
      <c r="DI68" s="112"/>
      <c r="DJ68" s="112"/>
      <c r="DK68" s="112"/>
      <c r="DL68" s="112"/>
      <c r="DM68" s="112"/>
      <c r="DN68" s="112"/>
      <c r="DO68" s="112"/>
      <c r="DP68" s="112"/>
      <c r="DQ68" s="112"/>
      <c r="DR68" s="112"/>
      <c r="DS68" s="112"/>
      <c r="DT68" s="112"/>
      <c r="DU68" s="112"/>
      <c r="DV68" s="112"/>
      <c r="DW68" s="112"/>
      <c r="DX68" s="112"/>
      <c r="DY68" s="112"/>
      <c r="DZ68" s="112"/>
      <c r="EA68" s="112"/>
      <c r="EB68" s="112"/>
      <c r="EC68" s="112"/>
      <c r="ED68" s="112"/>
      <c r="EE68" s="112"/>
      <c r="EF68" s="112"/>
      <c r="EG68" s="112"/>
      <c r="EH68" s="112"/>
      <c r="EI68" s="112"/>
      <c r="EJ68" s="112"/>
      <c r="EK68" s="112"/>
      <c r="EL68" s="112"/>
      <c r="EM68" s="112"/>
      <c r="EN68" s="112"/>
      <c r="EO68" s="112"/>
      <c r="EP68" s="112"/>
      <c r="EQ68" s="112"/>
      <c r="ER68" s="112"/>
      <c r="ES68" s="112"/>
      <c r="ET68" s="112"/>
      <c r="EU68" s="112"/>
      <c r="EV68" s="112"/>
      <c r="EW68" s="112"/>
      <c r="EX68" s="112"/>
      <c r="EY68" s="112"/>
      <c r="EZ68" s="112"/>
      <c r="FA68" s="112"/>
      <c r="FB68" s="112"/>
      <c r="FC68" s="112"/>
      <c r="FD68" s="112"/>
      <c r="FE68" s="112"/>
      <c r="FF68" s="112"/>
      <c r="FG68" s="112"/>
      <c r="FH68" s="112"/>
      <c r="FI68" s="112"/>
      <c r="FJ68" s="112"/>
      <c r="FK68" s="112"/>
      <c r="FL68" s="112"/>
      <c r="FM68" s="112"/>
      <c r="FN68" s="112"/>
      <c r="FO68" s="112"/>
      <c r="FP68" s="112"/>
      <c r="FQ68" s="112"/>
      <c r="FR68" s="112"/>
      <c r="FS68" s="112"/>
      <c r="FT68" s="112"/>
      <c r="FU68" s="112"/>
      <c r="FV68" s="112"/>
      <c r="FW68" s="112"/>
      <c r="FX68" s="112"/>
      <c r="FY68" s="112"/>
      <c r="FZ68" s="112"/>
      <c r="GA68" s="112"/>
      <c r="GB68" s="112"/>
      <c r="GC68" s="112"/>
      <c r="GD68" s="112"/>
      <c r="GE68" s="112"/>
      <c r="GF68" s="112"/>
      <c r="GG68" s="112"/>
      <c r="GH68" s="112"/>
      <c r="GI68" s="112"/>
      <c r="GJ68" s="112"/>
      <c r="GK68" s="112"/>
      <c r="GL68" s="112"/>
      <c r="GM68" s="112"/>
      <c r="GN68" s="112"/>
      <c r="GO68" s="112"/>
      <c r="GP68" s="112"/>
      <c r="GQ68" s="112"/>
      <c r="GR68" s="112"/>
      <c r="GS68" s="112"/>
      <c r="GT68" s="112"/>
      <c r="GU68" s="112"/>
      <c r="GV68" s="112"/>
      <c r="GW68" s="112"/>
      <c r="GX68" s="112"/>
      <c r="GY68" s="112"/>
      <c r="GZ68" s="112"/>
      <c r="HA68" s="112"/>
      <c r="HB68" s="112"/>
      <c r="HC68" s="112"/>
      <c r="HD68" s="112"/>
      <c r="HE68" s="112"/>
      <c r="HF68" s="112"/>
      <c r="HG68" s="112"/>
      <c r="HH68" s="112"/>
      <c r="HI68" s="112"/>
      <c r="HJ68" s="112"/>
      <c r="HK68" s="112"/>
      <c r="HL68" s="112"/>
      <c r="HM68" s="112"/>
      <c r="HN68" s="112"/>
      <c r="HO68" s="112"/>
      <c r="HP68" s="112"/>
      <c r="HQ68" s="112"/>
      <c r="HR68" s="112"/>
      <c r="HS68" s="112"/>
      <c r="HT68" s="112"/>
      <c r="HU68" s="112"/>
      <c r="HV68" s="112"/>
      <c r="HW68" s="112"/>
      <c r="HX68" s="112"/>
      <c r="HY68" s="112"/>
      <c r="HZ68" s="112"/>
      <c r="IA68" s="112"/>
      <c r="IB68" s="112"/>
      <c r="IC68" s="112"/>
      <c r="ID68" s="112"/>
      <c r="IE68" s="112"/>
      <c r="IF68" s="112"/>
      <c r="IG68" s="112"/>
      <c r="IH68" s="112"/>
      <c r="II68" s="112"/>
      <c r="IJ68" s="112"/>
      <c r="IK68" s="112"/>
      <c r="IL68" s="112"/>
      <c r="IM68" s="112"/>
      <c r="IN68" s="112"/>
      <c r="IO68" s="112"/>
      <c r="IP68" s="112"/>
      <c r="IQ68" s="112"/>
      <c r="IR68" s="112"/>
      <c r="IS68" s="112"/>
      <c r="IT68" s="112"/>
    </row>
    <row r="69" spans="1:254" s="113" customFormat="1" x14ac:dyDescent="0.2">
      <c r="A69" s="60"/>
      <c r="B69" s="110"/>
      <c r="C69" s="111"/>
      <c r="D69" s="63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R69" s="112"/>
      <c r="AS69" s="112"/>
      <c r="AT69" s="112"/>
      <c r="AU69" s="112"/>
      <c r="AV69" s="112"/>
      <c r="AW69" s="112"/>
      <c r="AX69" s="112"/>
      <c r="AY69" s="112"/>
      <c r="AZ69" s="112"/>
      <c r="BA69" s="112"/>
      <c r="BB69" s="112"/>
      <c r="BC69" s="112"/>
      <c r="BD69" s="112"/>
      <c r="BE69" s="112"/>
      <c r="BF69" s="112"/>
      <c r="BG69" s="112"/>
      <c r="BH69" s="112"/>
      <c r="BI69" s="112"/>
      <c r="BJ69" s="112"/>
      <c r="BK69" s="112"/>
      <c r="BL69" s="112"/>
      <c r="BM69" s="112"/>
      <c r="BN69" s="112"/>
      <c r="BO69" s="112"/>
      <c r="BP69" s="112"/>
      <c r="BQ69" s="112"/>
      <c r="BR69" s="112"/>
      <c r="BS69" s="112"/>
      <c r="BT69" s="112"/>
      <c r="BU69" s="112"/>
      <c r="BV69" s="112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L69" s="112"/>
      <c r="CM69" s="112"/>
      <c r="CN69" s="112"/>
      <c r="CO69" s="112"/>
      <c r="CP69" s="112"/>
      <c r="CQ69" s="112"/>
      <c r="CR69" s="112"/>
      <c r="CS69" s="112"/>
      <c r="CT69" s="112"/>
      <c r="CU69" s="112"/>
      <c r="CV69" s="112"/>
      <c r="CW69" s="112"/>
      <c r="CX69" s="112"/>
      <c r="CY69" s="112"/>
      <c r="CZ69" s="112"/>
      <c r="DA69" s="112"/>
      <c r="DB69" s="112"/>
      <c r="DC69" s="112"/>
      <c r="DD69" s="112"/>
      <c r="DE69" s="112"/>
      <c r="DF69" s="112"/>
      <c r="DG69" s="112"/>
      <c r="DH69" s="112"/>
      <c r="DI69" s="112"/>
      <c r="DJ69" s="112"/>
      <c r="DK69" s="112"/>
      <c r="DL69" s="112"/>
      <c r="DM69" s="112"/>
      <c r="DN69" s="112"/>
      <c r="DO69" s="112"/>
      <c r="DP69" s="112"/>
      <c r="DQ69" s="112"/>
      <c r="DR69" s="112"/>
      <c r="DS69" s="112"/>
      <c r="DT69" s="112"/>
      <c r="DU69" s="112"/>
      <c r="DV69" s="112"/>
      <c r="DW69" s="112"/>
      <c r="DX69" s="112"/>
      <c r="DY69" s="112"/>
      <c r="DZ69" s="112"/>
      <c r="EA69" s="112"/>
      <c r="EB69" s="112"/>
      <c r="EC69" s="112"/>
      <c r="ED69" s="112"/>
      <c r="EE69" s="112"/>
      <c r="EF69" s="112"/>
      <c r="EG69" s="112"/>
      <c r="EH69" s="112"/>
      <c r="EI69" s="112"/>
      <c r="EJ69" s="112"/>
      <c r="EK69" s="112"/>
      <c r="EL69" s="112"/>
      <c r="EM69" s="112"/>
      <c r="EN69" s="112"/>
      <c r="EO69" s="112"/>
      <c r="EP69" s="112"/>
      <c r="EQ69" s="112"/>
      <c r="ER69" s="112"/>
      <c r="ES69" s="112"/>
      <c r="ET69" s="112"/>
      <c r="EU69" s="112"/>
      <c r="EV69" s="112"/>
      <c r="EW69" s="112"/>
      <c r="EX69" s="112"/>
      <c r="EY69" s="112"/>
      <c r="EZ69" s="112"/>
      <c r="FA69" s="112"/>
      <c r="FB69" s="112"/>
      <c r="FC69" s="112"/>
      <c r="FD69" s="112"/>
      <c r="FE69" s="112"/>
      <c r="FF69" s="112"/>
      <c r="FG69" s="112"/>
      <c r="FH69" s="112"/>
      <c r="FI69" s="112"/>
      <c r="FJ69" s="112"/>
      <c r="FK69" s="112"/>
      <c r="FL69" s="112"/>
      <c r="FM69" s="112"/>
      <c r="FN69" s="112"/>
      <c r="FO69" s="112"/>
      <c r="FP69" s="112"/>
      <c r="FQ69" s="112"/>
      <c r="FR69" s="112"/>
      <c r="FS69" s="112"/>
      <c r="FT69" s="112"/>
      <c r="FU69" s="112"/>
      <c r="FV69" s="112"/>
      <c r="FW69" s="112"/>
      <c r="FX69" s="112"/>
      <c r="FY69" s="112"/>
      <c r="FZ69" s="112"/>
      <c r="GA69" s="112"/>
      <c r="GB69" s="112"/>
      <c r="GC69" s="112"/>
      <c r="GD69" s="112"/>
      <c r="GE69" s="112"/>
      <c r="GF69" s="112"/>
      <c r="GG69" s="112"/>
      <c r="GH69" s="112"/>
      <c r="GI69" s="112"/>
      <c r="GJ69" s="112"/>
      <c r="GK69" s="112"/>
      <c r="GL69" s="112"/>
      <c r="GM69" s="112"/>
      <c r="GN69" s="112"/>
      <c r="GO69" s="112"/>
      <c r="GP69" s="112"/>
      <c r="GQ69" s="112"/>
      <c r="GR69" s="112"/>
      <c r="GS69" s="112"/>
      <c r="GT69" s="112"/>
      <c r="GU69" s="112"/>
      <c r="GV69" s="112"/>
      <c r="GW69" s="112"/>
      <c r="GX69" s="112"/>
      <c r="GY69" s="112"/>
      <c r="GZ69" s="112"/>
      <c r="HA69" s="112"/>
      <c r="HB69" s="112"/>
      <c r="HC69" s="112"/>
      <c r="HD69" s="112"/>
      <c r="HE69" s="112"/>
      <c r="HF69" s="112"/>
      <c r="HG69" s="112"/>
      <c r="HH69" s="112"/>
      <c r="HI69" s="112"/>
      <c r="HJ69" s="112"/>
      <c r="HK69" s="112"/>
      <c r="HL69" s="112"/>
      <c r="HM69" s="112"/>
      <c r="HN69" s="112"/>
      <c r="HO69" s="112"/>
      <c r="HP69" s="112"/>
      <c r="HQ69" s="112"/>
      <c r="HR69" s="112"/>
      <c r="HS69" s="112"/>
      <c r="HT69" s="112"/>
      <c r="HU69" s="112"/>
      <c r="HV69" s="112"/>
      <c r="HW69" s="112"/>
      <c r="HX69" s="112"/>
      <c r="HY69" s="112"/>
      <c r="HZ69" s="112"/>
      <c r="IA69" s="112"/>
      <c r="IB69" s="112"/>
      <c r="IC69" s="112"/>
      <c r="ID69" s="112"/>
      <c r="IE69" s="112"/>
      <c r="IF69" s="112"/>
      <c r="IG69" s="112"/>
      <c r="IH69" s="112"/>
      <c r="II69" s="112"/>
      <c r="IJ69" s="112"/>
      <c r="IK69" s="112"/>
      <c r="IL69" s="112"/>
      <c r="IM69" s="112"/>
      <c r="IN69" s="112"/>
      <c r="IO69" s="112"/>
      <c r="IP69" s="112"/>
      <c r="IQ69" s="112"/>
      <c r="IR69" s="112"/>
      <c r="IS69" s="112"/>
      <c r="IT69" s="112"/>
    </row>
    <row r="70" spans="1:254" s="113" customFormat="1" x14ac:dyDescent="0.2">
      <c r="A70" s="60"/>
      <c r="B70" s="110"/>
      <c r="C70" s="111"/>
      <c r="D70" s="63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112"/>
      <c r="AS70" s="112"/>
      <c r="AT70" s="112"/>
      <c r="AU70" s="112"/>
      <c r="AV70" s="112"/>
      <c r="AW70" s="112"/>
      <c r="AX70" s="112"/>
      <c r="AY70" s="112"/>
      <c r="AZ70" s="112"/>
      <c r="BA70" s="112"/>
      <c r="BB70" s="112"/>
      <c r="BC70" s="112"/>
      <c r="BD70" s="112"/>
      <c r="BE70" s="112"/>
      <c r="BF70" s="112"/>
      <c r="BG70" s="112"/>
      <c r="BH70" s="112"/>
      <c r="BI70" s="112"/>
      <c r="BJ70" s="112"/>
      <c r="BK70" s="112"/>
      <c r="BL70" s="112"/>
      <c r="BM70" s="112"/>
      <c r="BN70" s="112"/>
      <c r="BO70" s="112"/>
      <c r="BP70" s="112"/>
      <c r="BQ70" s="112"/>
      <c r="BR70" s="112"/>
      <c r="BS70" s="112"/>
      <c r="BT70" s="112"/>
      <c r="BU70" s="112"/>
      <c r="BV70" s="112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L70" s="112"/>
      <c r="CM70" s="112"/>
      <c r="CN70" s="112"/>
      <c r="CO70" s="112"/>
      <c r="CP70" s="112"/>
      <c r="CQ70" s="112"/>
      <c r="CR70" s="112"/>
      <c r="CS70" s="112"/>
      <c r="CT70" s="112"/>
      <c r="CU70" s="112"/>
      <c r="CV70" s="112"/>
      <c r="CW70" s="112"/>
      <c r="CX70" s="112"/>
      <c r="CY70" s="112"/>
      <c r="CZ70" s="112"/>
      <c r="DA70" s="112"/>
      <c r="DB70" s="112"/>
      <c r="DC70" s="112"/>
      <c r="DD70" s="112"/>
      <c r="DE70" s="112"/>
      <c r="DF70" s="112"/>
      <c r="DG70" s="112"/>
      <c r="DH70" s="112"/>
      <c r="DI70" s="112"/>
      <c r="DJ70" s="112"/>
      <c r="DK70" s="112"/>
      <c r="DL70" s="112"/>
      <c r="DM70" s="112"/>
      <c r="DN70" s="112"/>
      <c r="DO70" s="112"/>
      <c r="DP70" s="112"/>
      <c r="DQ70" s="112"/>
      <c r="DR70" s="112"/>
      <c r="DS70" s="112"/>
      <c r="DT70" s="112"/>
      <c r="DU70" s="112"/>
      <c r="DV70" s="112"/>
      <c r="DW70" s="112"/>
      <c r="DX70" s="112"/>
      <c r="DY70" s="112"/>
      <c r="DZ70" s="112"/>
      <c r="EA70" s="112"/>
      <c r="EB70" s="112"/>
      <c r="EC70" s="112"/>
      <c r="ED70" s="112"/>
      <c r="EE70" s="112"/>
      <c r="EF70" s="112"/>
      <c r="EG70" s="112"/>
      <c r="EH70" s="112"/>
      <c r="EI70" s="112"/>
      <c r="EJ70" s="112"/>
      <c r="EK70" s="112"/>
      <c r="EL70" s="112"/>
      <c r="EM70" s="112"/>
      <c r="EN70" s="112"/>
      <c r="EO70" s="112"/>
      <c r="EP70" s="112"/>
      <c r="EQ70" s="112"/>
      <c r="ER70" s="112"/>
      <c r="ES70" s="112"/>
      <c r="ET70" s="112"/>
      <c r="EU70" s="112"/>
      <c r="EV70" s="112"/>
      <c r="EW70" s="112"/>
      <c r="EX70" s="112"/>
      <c r="EY70" s="112"/>
      <c r="EZ70" s="112"/>
      <c r="FA70" s="112"/>
      <c r="FB70" s="112"/>
      <c r="FC70" s="112"/>
      <c r="FD70" s="112"/>
      <c r="FE70" s="112"/>
      <c r="FF70" s="112"/>
      <c r="FG70" s="112"/>
      <c r="FH70" s="112"/>
      <c r="FI70" s="112"/>
      <c r="FJ70" s="112"/>
      <c r="FK70" s="112"/>
      <c r="FL70" s="112"/>
      <c r="FM70" s="112"/>
      <c r="FN70" s="112"/>
      <c r="FO70" s="112"/>
      <c r="FP70" s="112"/>
      <c r="FQ70" s="112"/>
      <c r="FR70" s="112"/>
      <c r="FS70" s="112"/>
      <c r="FT70" s="112"/>
      <c r="FU70" s="112"/>
      <c r="FV70" s="112"/>
      <c r="FW70" s="112"/>
      <c r="FX70" s="112"/>
      <c r="FY70" s="112"/>
      <c r="FZ70" s="112"/>
      <c r="GA70" s="112"/>
      <c r="GB70" s="112"/>
      <c r="GC70" s="112"/>
      <c r="GD70" s="112"/>
      <c r="GE70" s="112"/>
      <c r="GF70" s="112"/>
      <c r="GG70" s="112"/>
      <c r="GH70" s="112"/>
      <c r="GI70" s="112"/>
      <c r="GJ70" s="112"/>
      <c r="GK70" s="112"/>
      <c r="GL70" s="112"/>
      <c r="GM70" s="112"/>
      <c r="GN70" s="112"/>
      <c r="GO70" s="112"/>
      <c r="GP70" s="112"/>
      <c r="GQ70" s="112"/>
      <c r="GR70" s="112"/>
      <c r="GS70" s="112"/>
      <c r="GT70" s="112"/>
      <c r="GU70" s="112"/>
      <c r="GV70" s="112"/>
      <c r="GW70" s="112"/>
      <c r="GX70" s="112"/>
      <c r="GY70" s="112"/>
      <c r="GZ70" s="112"/>
      <c r="HA70" s="112"/>
      <c r="HB70" s="112"/>
      <c r="HC70" s="112"/>
      <c r="HD70" s="112"/>
      <c r="HE70" s="112"/>
      <c r="HF70" s="112"/>
      <c r="HG70" s="112"/>
      <c r="HH70" s="112"/>
      <c r="HI70" s="112"/>
      <c r="HJ70" s="112"/>
      <c r="HK70" s="112"/>
      <c r="HL70" s="112"/>
      <c r="HM70" s="112"/>
      <c r="HN70" s="112"/>
      <c r="HO70" s="112"/>
      <c r="HP70" s="112"/>
      <c r="HQ70" s="112"/>
      <c r="HR70" s="112"/>
      <c r="HS70" s="112"/>
      <c r="HT70" s="112"/>
      <c r="HU70" s="112"/>
      <c r="HV70" s="112"/>
      <c r="HW70" s="112"/>
      <c r="HX70" s="112"/>
      <c r="HY70" s="112"/>
      <c r="HZ70" s="112"/>
      <c r="IA70" s="112"/>
      <c r="IB70" s="112"/>
      <c r="IC70" s="112"/>
      <c r="ID70" s="112"/>
      <c r="IE70" s="112"/>
      <c r="IF70" s="112"/>
      <c r="IG70" s="112"/>
      <c r="IH70" s="112"/>
      <c r="II70" s="112"/>
      <c r="IJ70" s="112"/>
      <c r="IK70" s="112"/>
      <c r="IL70" s="112"/>
      <c r="IM70" s="112"/>
      <c r="IN70" s="112"/>
      <c r="IO70" s="112"/>
      <c r="IP70" s="112"/>
      <c r="IQ70" s="112"/>
      <c r="IR70" s="112"/>
      <c r="IS70" s="112"/>
      <c r="IT70" s="112"/>
    </row>
    <row r="71" spans="1:254" s="113" customFormat="1" x14ac:dyDescent="0.2">
      <c r="A71" s="60"/>
      <c r="B71" s="110"/>
      <c r="C71" s="111"/>
      <c r="D71" s="63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112"/>
      <c r="AS71" s="112"/>
      <c r="AT71" s="112"/>
      <c r="AU71" s="112"/>
      <c r="AV71" s="112"/>
      <c r="AW71" s="112"/>
      <c r="AX71" s="112"/>
      <c r="AY71" s="112"/>
      <c r="AZ71" s="112"/>
      <c r="BA71" s="112"/>
      <c r="BB71" s="112"/>
      <c r="BC71" s="112"/>
      <c r="BD71" s="112"/>
      <c r="BE71" s="112"/>
      <c r="BF71" s="112"/>
      <c r="BG71" s="112"/>
      <c r="BH71" s="112"/>
      <c r="BI71" s="112"/>
      <c r="BJ71" s="112"/>
      <c r="BK71" s="112"/>
      <c r="BL71" s="112"/>
      <c r="BM71" s="112"/>
      <c r="BN71" s="112"/>
      <c r="BO71" s="112"/>
      <c r="BP71" s="112"/>
      <c r="BQ71" s="112"/>
      <c r="BR71" s="112"/>
      <c r="BS71" s="112"/>
      <c r="BT71" s="112"/>
      <c r="BU71" s="112"/>
      <c r="BV71" s="112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L71" s="112"/>
      <c r="CM71" s="112"/>
      <c r="CN71" s="112"/>
      <c r="CO71" s="112"/>
      <c r="CP71" s="112"/>
      <c r="CQ71" s="112"/>
      <c r="CR71" s="112"/>
      <c r="CS71" s="112"/>
      <c r="CT71" s="112"/>
      <c r="CU71" s="112"/>
      <c r="CV71" s="112"/>
      <c r="CW71" s="112"/>
      <c r="CX71" s="112"/>
      <c r="CY71" s="112"/>
      <c r="CZ71" s="112"/>
      <c r="DA71" s="112"/>
      <c r="DB71" s="112"/>
      <c r="DC71" s="112"/>
      <c r="DD71" s="112"/>
      <c r="DE71" s="112"/>
      <c r="DF71" s="112"/>
      <c r="DG71" s="112"/>
      <c r="DH71" s="112"/>
      <c r="DI71" s="112"/>
      <c r="DJ71" s="112"/>
      <c r="DK71" s="112"/>
      <c r="DL71" s="112"/>
      <c r="DM71" s="112"/>
      <c r="DN71" s="112"/>
      <c r="DO71" s="112"/>
      <c r="DP71" s="112"/>
      <c r="DQ71" s="112"/>
      <c r="DR71" s="112"/>
      <c r="DS71" s="112"/>
      <c r="DT71" s="112"/>
      <c r="DU71" s="112"/>
      <c r="DV71" s="112"/>
      <c r="DW71" s="112"/>
      <c r="DX71" s="112"/>
      <c r="DY71" s="112"/>
      <c r="DZ71" s="112"/>
      <c r="EA71" s="112"/>
      <c r="EB71" s="112"/>
      <c r="EC71" s="112"/>
      <c r="ED71" s="112"/>
      <c r="EE71" s="112"/>
      <c r="EF71" s="112"/>
      <c r="EG71" s="112"/>
      <c r="EH71" s="112"/>
      <c r="EI71" s="112"/>
      <c r="EJ71" s="112"/>
      <c r="EK71" s="112"/>
      <c r="EL71" s="112"/>
      <c r="EM71" s="112"/>
      <c r="EN71" s="112"/>
      <c r="EO71" s="112"/>
      <c r="EP71" s="112"/>
      <c r="EQ71" s="112"/>
      <c r="ER71" s="112"/>
      <c r="ES71" s="112"/>
      <c r="ET71" s="112"/>
      <c r="EU71" s="112"/>
      <c r="EV71" s="112"/>
      <c r="EW71" s="112"/>
      <c r="EX71" s="112"/>
      <c r="EY71" s="112"/>
      <c r="EZ71" s="112"/>
      <c r="FA71" s="112"/>
      <c r="FB71" s="112"/>
      <c r="FC71" s="112"/>
      <c r="FD71" s="112"/>
      <c r="FE71" s="112"/>
      <c r="FF71" s="112"/>
      <c r="FG71" s="112"/>
      <c r="FH71" s="112"/>
      <c r="FI71" s="112"/>
      <c r="FJ71" s="112"/>
      <c r="FK71" s="112"/>
      <c r="FL71" s="112"/>
      <c r="FM71" s="112"/>
      <c r="FN71" s="112"/>
      <c r="FO71" s="112"/>
      <c r="FP71" s="112"/>
      <c r="FQ71" s="112"/>
      <c r="FR71" s="112"/>
      <c r="FS71" s="112"/>
      <c r="FT71" s="112"/>
      <c r="FU71" s="112"/>
      <c r="FV71" s="112"/>
      <c r="FW71" s="112"/>
      <c r="FX71" s="112"/>
      <c r="FY71" s="112"/>
      <c r="FZ71" s="112"/>
      <c r="GA71" s="112"/>
      <c r="GB71" s="112"/>
      <c r="GC71" s="112"/>
      <c r="GD71" s="112"/>
      <c r="GE71" s="112"/>
      <c r="GF71" s="112"/>
      <c r="GG71" s="112"/>
      <c r="GH71" s="112"/>
      <c r="GI71" s="112"/>
      <c r="GJ71" s="112"/>
      <c r="GK71" s="112"/>
      <c r="GL71" s="112"/>
      <c r="GM71" s="112"/>
      <c r="GN71" s="112"/>
      <c r="GO71" s="112"/>
      <c r="GP71" s="112"/>
      <c r="GQ71" s="112"/>
      <c r="GR71" s="112"/>
      <c r="GS71" s="112"/>
      <c r="GT71" s="112"/>
      <c r="GU71" s="112"/>
      <c r="GV71" s="112"/>
      <c r="GW71" s="112"/>
      <c r="GX71" s="112"/>
      <c r="GY71" s="112"/>
      <c r="GZ71" s="112"/>
      <c r="HA71" s="112"/>
      <c r="HB71" s="112"/>
      <c r="HC71" s="112"/>
      <c r="HD71" s="112"/>
      <c r="HE71" s="112"/>
      <c r="HF71" s="112"/>
      <c r="HG71" s="112"/>
      <c r="HH71" s="112"/>
      <c r="HI71" s="112"/>
      <c r="HJ71" s="112"/>
      <c r="HK71" s="112"/>
      <c r="HL71" s="112"/>
      <c r="HM71" s="112"/>
      <c r="HN71" s="112"/>
      <c r="HO71" s="112"/>
      <c r="HP71" s="112"/>
      <c r="HQ71" s="112"/>
      <c r="HR71" s="112"/>
      <c r="HS71" s="112"/>
      <c r="HT71" s="112"/>
      <c r="HU71" s="112"/>
      <c r="HV71" s="112"/>
      <c r="HW71" s="112"/>
      <c r="HX71" s="112"/>
      <c r="HY71" s="112"/>
      <c r="HZ71" s="112"/>
      <c r="IA71" s="112"/>
      <c r="IB71" s="112"/>
      <c r="IC71" s="112"/>
      <c r="ID71" s="112"/>
      <c r="IE71" s="112"/>
      <c r="IF71" s="112"/>
      <c r="IG71" s="112"/>
      <c r="IH71" s="112"/>
      <c r="II71" s="112"/>
      <c r="IJ71" s="112"/>
      <c r="IK71" s="112"/>
      <c r="IL71" s="112"/>
      <c r="IM71" s="112"/>
      <c r="IN71" s="112"/>
      <c r="IO71" s="112"/>
      <c r="IP71" s="112"/>
      <c r="IQ71" s="112"/>
      <c r="IR71" s="112"/>
      <c r="IS71" s="112"/>
      <c r="IT71" s="112"/>
    </row>
    <row r="72" spans="1:254" s="113" customFormat="1" x14ac:dyDescent="0.2">
      <c r="A72" s="60"/>
      <c r="B72" s="110"/>
      <c r="C72" s="111"/>
      <c r="D72" s="63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R72" s="112"/>
      <c r="AS72" s="112"/>
      <c r="AT72" s="112"/>
      <c r="AU72" s="112"/>
      <c r="AV72" s="112"/>
      <c r="AW72" s="112"/>
      <c r="AX72" s="112"/>
      <c r="AY72" s="112"/>
      <c r="AZ72" s="112"/>
      <c r="BA72" s="112"/>
      <c r="BB72" s="112"/>
      <c r="BC72" s="112"/>
      <c r="BD72" s="112"/>
      <c r="BE72" s="112"/>
      <c r="BF72" s="112"/>
      <c r="BG72" s="112"/>
      <c r="BH72" s="112"/>
      <c r="BI72" s="112"/>
      <c r="BJ72" s="112"/>
      <c r="BK72" s="112"/>
      <c r="BL72" s="112"/>
      <c r="BM72" s="112"/>
      <c r="BN72" s="112"/>
      <c r="BO72" s="112"/>
      <c r="BP72" s="112"/>
      <c r="BQ72" s="112"/>
      <c r="BR72" s="112"/>
      <c r="BS72" s="112"/>
      <c r="BT72" s="112"/>
      <c r="BU72" s="112"/>
      <c r="BV72" s="112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L72" s="112"/>
      <c r="CM72" s="112"/>
      <c r="CN72" s="112"/>
      <c r="CO72" s="112"/>
      <c r="CP72" s="112"/>
      <c r="CQ72" s="112"/>
      <c r="CR72" s="112"/>
      <c r="CS72" s="112"/>
      <c r="CT72" s="112"/>
      <c r="CU72" s="112"/>
      <c r="CV72" s="112"/>
      <c r="CW72" s="112"/>
      <c r="CX72" s="112"/>
      <c r="CY72" s="112"/>
      <c r="CZ72" s="112"/>
      <c r="DA72" s="112"/>
      <c r="DB72" s="112"/>
      <c r="DC72" s="112"/>
      <c r="DD72" s="112"/>
      <c r="DE72" s="112"/>
      <c r="DF72" s="112"/>
      <c r="DG72" s="112"/>
      <c r="DH72" s="112"/>
      <c r="DI72" s="112"/>
      <c r="DJ72" s="112"/>
      <c r="DK72" s="112"/>
      <c r="DL72" s="112"/>
      <c r="DM72" s="112"/>
      <c r="DN72" s="112"/>
      <c r="DO72" s="112"/>
      <c r="DP72" s="112"/>
      <c r="DQ72" s="112"/>
      <c r="DR72" s="112"/>
      <c r="DS72" s="112"/>
      <c r="DT72" s="112"/>
      <c r="DU72" s="112"/>
      <c r="DV72" s="112"/>
      <c r="DW72" s="112"/>
      <c r="DX72" s="112"/>
      <c r="DY72" s="112"/>
      <c r="DZ72" s="112"/>
      <c r="EA72" s="112"/>
      <c r="EB72" s="112"/>
      <c r="EC72" s="112"/>
      <c r="ED72" s="112"/>
      <c r="EE72" s="112"/>
      <c r="EF72" s="112"/>
      <c r="EG72" s="112"/>
      <c r="EH72" s="112"/>
      <c r="EI72" s="112"/>
      <c r="EJ72" s="112"/>
      <c r="EK72" s="112"/>
      <c r="EL72" s="112"/>
      <c r="EM72" s="112"/>
      <c r="EN72" s="112"/>
      <c r="EO72" s="112"/>
      <c r="EP72" s="112"/>
      <c r="EQ72" s="112"/>
      <c r="ER72" s="112"/>
      <c r="ES72" s="112"/>
      <c r="ET72" s="112"/>
      <c r="EU72" s="112"/>
      <c r="EV72" s="112"/>
      <c r="EW72" s="112"/>
      <c r="EX72" s="112"/>
      <c r="EY72" s="112"/>
      <c r="EZ72" s="112"/>
      <c r="FA72" s="112"/>
      <c r="FB72" s="112"/>
      <c r="FC72" s="112"/>
      <c r="FD72" s="112"/>
      <c r="FE72" s="112"/>
      <c r="FF72" s="112"/>
      <c r="FG72" s="112"/>
      <c r="FH72" s="112"/>
      <c r="FI72" s="112"/>
      <c r="FJ72" s="112"/>
      <c r="FK72" s="112"/>
      <c r="FL72" s="112"/>
      <c r="FM72" s="112"/>
      <c r="FN72" s="112"/>
      <c r="FO72" s="112"/>
      <c r="FP72" s="112"/>
      <c r="FQ72" s="112"/>
      <c r="FR72" s="112"/>
      <c r="FS72" s="112"/>
      <c r="FT72" s="112"/>
      <c r="FU72" s="112"/>
      <c r="FV72" s="112"/>
      <c r="FW72" s="112"/>
      <c r="FX72" s="112"/>
      <c r="FY72" s="112"/>
      <c r="FZ72" s="112"/>
      <c r="GA72" s="112"/>
      <c r="GB72" s="112"/>
      <c r="GC72" s="112"/>
      <c r="GD72" s="112"/>
      <c r="GE72" s="112"/>
      <c r="GF72" s="112"/>
      <c r="GG72" s="112"/>
      <c r="GH72" s="112"/>
      <c r="GI72" s="112"/>
      <c r="GJ72" s="112"/>
      <c r="GK72" s="112"/>
      <c r="GL72" s="112"/>
      <c r="GM72" s="112"/>
      <c r="GN72" s="112"/>
      <c r="GO72" s="112"/>
      <c r="GP72" s="112"/>
      <c r="GQ72" s="112"/>
      <c r="GR72" s="112"/>
      <c r="GS72" s="112"/>
      <c r="GT72" s="112"/>
      <c r="GU72" s="112"/>
      <c r="GV72" s="112"/>
      <c r="GW72" s="112"/>
      <c r="GX72" s="112"/>
      <c r="GY72" s="112"/>
      <c r="GZ72" s="112"/>
      <c r="HA72" s="112"/>
      <c r="HB72" s="112"/>
      <c r="HC72" s="112"/>
      <c r="HD72" s="112"/>
      <c r="HE72" s="112"/>
      <c r="HF72" s="112"/>
      <c r="HG72" s="112"/>
      <c r="HH72" s="112"/>
      <c r="HI72" s="112"/>
      <c r="HJ72" s="112"/>
      <c r="HK72" s="112"/>
      <c r="HL72" s="112"/>
      <c r="HM72" s="112"/>
      <c r="HN72" s="112"/>
      <c r="HO72" s="112"/>
      <c r="HP72" s="112"/>
      <c r="HQ72" s="112"/>
      <c r="HR72" s="112"/>
      <c r="HS72" s="112"/>
      <c r="HT72" s="112"/>
      <c r="HU72" s="112"/>
      <c r="HV72" s="112"/>
      <c r="HW72" s="112"/>
      <c r="HX72" s="112"/>
      <c r="HY72" s="112"/>
      <c r="HZ72" s="112"/>
      <c r="IA72" s="112"/>
      <c r="IB72" s="112"/>
      <c r="IC72" s="112"/>
      <c r="ID72" s="112"/>
      <c r="IE72" s="112"/>
      <c r="IF72" s="112"/>
      <c r="IG72" s="112"/>
      <c r="IH72" s="112"/>
      <c r="II72" s="112"/>
      <c r="IJ72" s="112"/>
      <c r="IK72" s="112"/>
      <c r="IL72" s="112"/>
      <c r="IM72" s="112"/>
      <c r="IN72" s="112"/>
      <c r="IO72" s="112"/>
      <c r="IP72" s="112"/>
      <c r="IQ72" s="112"/>
      <c r="IR72" s="112"/>
      <c r="IS72" s="112"/>
      <c r="IT72" s="112"/>
    </row>
    <row r="73" spans="1:254" s="113" customFormat="1" x14ac:dyDescent="0.2">
      <c r="A73" s="60"/>
      <c r="B73" s="110"/>
      <c r="C73" s="111"/>
      <c r="D73" s="63"/>
      <c r="E73" s="112"/>
      <c r="F73" s="112"/>
      <c r="G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R73" s="112"/>
      <c r="AS73" s="112"/>
      <c r="AT73" s="112"/>
      <c r="AU73" s="112"/>
      <c r="AV73" s="112"/>
      <c r="AW73" s="112"/>
      <c r="AX73" s="112"/>
      <c r="AY73" s="112"/>
      <c r="AZ73" s="112"/>
      <c r="BA73" s="112"/>
      <c r="BB73" s="112"/>
      <c r="BC73" s="112"/>
      <c r="BD73" s="112"/>
      <c r="BE73" s="112"/>
      <c r="BF73" s="112"/>
      <c r="BG73" s="112"/>
      <c r="BH73" s="112"/>
      <c r="BI73" s="112"/>
      <c r="BJ73" s="112"/>
      <c r="BK73" s="112"/>
      <c r="BL73" s="112"/>
      <c r="BM73" s="112"/>
      <c r="BN73" s="112"/>
      <c r="BO73" s="112"/>
      <c r="BP73" s="112"/>
      <c r="BQ73" s="112"/>
      <c r="BR73" s="112"/>
      <c r="BS73" s="112"/>
      <c r="BT73" s="112"/>
      <c r="BU73" s="112"/>
      <c r="BV73" s="112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L73" s="112"/>
      <c r="CM73" s="112"/>
      <c r="CN73" s="112"/>
      <c r="CO73" s="112"/>
      <c r="CP73" s="112"/>
      <c r="CQ73" s="112"/>
      <c r="CR73" s="112"/>
      <c r="CS73" s="112"/>
      <c r="CT73" s="112"/>
      <c r="CU73" s="112"/>
      <c r="CV73" s="112"/>
      <c r="CW73" s="112"/>
      <c r="CX73" s="112"/>
      <c r="CY73" s="112"/>
      <c r="CZ73" s="112"/>
      <c r="DA73" s="112"/>
      <c r="DB73" s="112"/>
      <c r="DC73" s="112"/>
      <c r="DD73" s="112"/>
      <c r="DE73" s="112"/>
      <c r="DF73" s="112"/>
      <c r="DG73" s="112"/>
      <c r="DH73" s="112"/>
      <c r="DI73" s="112"/>
      <c r="DJ73" s="112"/>
      <c r="DK73" s="112"/>
      <c r="DL73" s="112"/>
      <c r="DM73" s="112"/>
      <c r="DN73" s="112"/>
      <c r="DO73" s="112"/>
      <c r="DP73" s="112"/>
      <c r="DQ73" s="112"/>
      <c r="DR73" s="112"/>
      <c r="DS73" s="112"/>
      <c r="DT73" s="112"/>
      <c r="DU73" s="112"/>
      <c r="DV73" s="112"/>
      <c r="DW73" s="112"/>
      <c r="DX73" s="112"/>
      <c r="DY73" s="112"/>
      <c r="DZ73" s="112"/>
      <c r="EA73" s="112"/>
      <c r="EB73" s="112"/>
      <c r="EC73" s="112"/>
      <c r="ED73" s="112"/>
      <c r="EE73" s="112"/>
      <c r="EF73" s="112"/>
      <c r="EG73" s="112"/>
      <c r="EH73" s="112"/>
      <c r="EI73" s="112"/>
      <c r="EJ73" s="112"/>
      <c r="EK73" s="112"/>
      <c r="EL73" s="112"/>
      <c r="EM73" s="112"/>
      <c r="EN73" s="112"/>
      <c r="EO73" s="112"/>
      <c r="EP73" s="112"/>
      <c r="EQ73" s="112"/>
      <c r="ER73" s="112"/>
      <c r="ES73" s="112"/>
      <c r="ET73" s="112"/>
      <c r="EU73" s="112"/>
      <c r="EV73" s="112"/>
      <c r="EW73" s="112"/>
      <c r="EX73" s="112"/>
      <c r="EY73" s="112"/>
      <c r="EZ73" s="112"/>
      <c r="FA73" s="112"/>
      <c r="FB73" s="112"/>
      <c r="FC73" s="112"/>
      <c r="FD73" s="112"/>
      <c r="FE73" s="112"/>
      <c r="FF73" s="112"/>
      <c r="FG73" s="112"/>
      <c r="FH73" s="112"/>
      <c r="FI73" s="112"/>
      <c r="FJ73" s="112"/>
      <c r="FK73" s="112"/>
      <c r="FL73" s="112"/>
      <c r="FM73" s="112"/>
      <c r="FN73" s="112"/>
      <c r="FO73" s="112"/>
      <c r="FP73" s="112"/>
      <c r="FQ73" s="112"/>
      <c r="FR73" s="112"/>
      <c r="FS73" s="112"/>
      <c r="FT73" s="112"/>
      <c r="FU73" s="112"/>
      <c r="FV73" s="112"/>
      <c r="FW73" s="112"/>
      <c r="FX73" s="112"/>
      <c r="FY73" s="112"/>
      <c r="FZ73" s="112"/>
      <c r="GA73" s="112"/>
      <c r="GB73" s="112"/>
      <c r="GC73" s="112"/>
      <c r="GD73" s="112"/>
      <c r="GE73" s="112"/>
      <c r="GF73" s="112"/>
      <c r="GG73" s="112"/>
      <c r="GH73" s="112"/>
      <c r="GI73" s="112"/>
      <c r="GJ73" s="112"/>
      <c r="GK73" s="112"/>
      <c r="GL73" s="112"/>
      <c r="GM73" s="112"/>
      <c r="GN73" s="112"/>
      <c r="GO73" s="112"/>
      <c r="GP73" s="112"/>
      <c r="GQ73" s="112"/>
      <c r="GR73" s="112"/>
      <c r="GS73" s="112"/>
      <c r="GT73" s="112"/>
      <c r="GU73" s="112"/>
      <c r="GV73" s="112"/>
      <c r="GW73" s="112"/>
      <c r="GX73" s="112"/>
      <c r="GY73" s="112"/>
      <c r="GZ73" s="112"/>
      <c r="HA73" s="112"/>
      <c r="HB73" s="112"/>
      <c r="HC73" s="112"/>
      <c r="HD73" s="112"/>
      <c r="HE73" s="112"/>
      <c r="HF73" s="112"/>
      <c r="HG73" s="112"/>
      <c r="HH73" s="112"/>
      <c r="HI73" s="112"/>
      <c r="HJ73" s="112"/>
      <c r="HK73" s="112"/>
      <c r="HL73" s="112"/>
      <c r="HM73" s="112"/>
      <c r="HN73" s="112"/>
      <c r="HO73" s="112"/>
      <c r="HP73" s="112"/>
      <c r="HQ73" s="112"/>
      <c r="HR73" s="112"/>
      <c r="HS73" s="112"/>
      <c r="HT73" s="112"/>
      <c r="HU73" s="112"/>
      <c r="HV73" s="112"/>
      <c r="HW73" s="112"/>
      <c r="HX73" s="112"/>
      <c r="HY73" s="112"/>
      <c r="HZ73" s="112"/>
      <c r="IA73" s="112"/>
      <c r="IB73" s="112"/>
      <c r="IC73" s="112"/>
      <c r="ID73" s="112"/>
      <c r="IE73" s="112"/>
      <c r="IF73" s="112"/>
      <c r="IG73" s="112"/>
      <c r="IH73" s="112"/>
      <c r="II73" s="112"/>
      <c r="IJ73" s="112"/>
      <c r="IK73" s="112"/>
      <c r="IL73" s="112"/>
      <c r="IM73" s="112"/>
      <c r="IN73" s="112"/>
      <c r="IO73" s="112"/>
      <c r="IP73" s="112"/>
      <c r="IQ73" s="112"/>
      <c r="IR73" s="112"/>
      <c r="IS73" s="112"/>
      <c r="IT73" s="112"/>
    </row>
    <row r="74" spans="1:254" s="113" customFormat="1" x14ac:dyDescent="0.2">
      <c r="A74" s="60"/>
      <c r="B74" s="110"/>
      <c r="C74" s="111"/>
      <c r="D74" s="63"/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112"/>
      <c r="AS74" s="112"/>
      <c r="AT74" s="112"/>
      <c r="AU74" s="112"/>
      <c r="AV74" s="112"/>
      <c r="AW74" s="112"/>
      <c r="AX74" s="112"/>
      <c r="AY74" s="112"/>
      <c r="AZ74" s="112"/>
      <c r="BA74" s="112"/>
      <c r="BB74" s="112"/>
      <c r="BC74" s="112"/>
      <c r="BD74" s="112"/>
      <c r="BE74" s="112"/>
      <c r="BF74" s="112"/>
      <c r="BG74" s="112"/>
      <c r="BH74" s="112"/>
      <c r="BI74" s="112"/>
      <c r="BJ74" s="112"/>
      <c r="BK74" s="112"/>
      <c r="BL74" s="112"/>
      <c r="BM74" s="112"/>
      <c r="BN74" s="112"/>
      <c r="BO74" s="112"/>
      <c r="BP74" s="112"/>
      <c r="BQ74" s="112"/>
      <c r="BR74" s="112"/>
      <c r="BS74" s="112"/>
      <c r="BT74" s="112"/>
      <c r="BU74" s="112"/>
      <c r="BV74" s="112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L74" s="112"/>
      <c r="CM74" s="112"/>
      <c r="CN74" s="112"/>
      <c r="CO74" s="112"/>
      <c r="CP74" s="112"/>
      <c r="CQ74" s="112"/>
      <c r="CR74" s="112"/>
      <c r="CS74" s="112"/>
      <c r="CT74" s="112"/>
      <c r="CU74" s="112"/>
      <c r="CV74" s="112"/>
      <c r="CW74" s="112"/>
      <c r="CX74" s="112"/>
      <c r="CY74" s="112"/>
      <c r="CZ74" s="112"/>
      <c r="DA74" s="112"/>
      <c r="DB74" s="112"/>
      <c r="DC74" s="112"/>
      <c r="DD74" s="112"/>
      <c r="DE74" s="112"/>
      <c r="DF74" s="112"/>
      <c r="DG74" s="112"/>
      <c r="DH74" s="112"/>
      <c r="DI74" s="112"/>
      <c r="DJ74" s="112"/>
      <c r="DK74" s="112"/>
      <c r="DL74" s="112"/>
      <c r="DM74" s="112"/>
      <c r="DN74" s="112"/>
      <c r="DO74" s="112"/>
      <c r="DP74" s="112"/>
      <c r="DQ74" s="112"/>
      <c r="DR74" s="112"/>
      <c r="DS74" s="112"/>
      <c r="DT74" s="112"/>
      <c r="DU74" s="112"/>
      <c r="DV74" s="112"/>
      <c r="DW74" s="112"/>
      <c r="DX74" s="112"/>
      <c r="DY74" s="112"/>
      <c r="DZ74" s="112"/>
      <c r="EA74" s="112"/>
      <c r="EB74" s="112"/>
      <c r="EC74" s="112"/>
      <c r="ED74" s="112"/>
      <c r="EE74" s="112"/>
      <c r="EF74" s="112"/>
      <c r="EG74" s="112"/>
      <c r="EH74" s="112"/>
      <c r="EI74" s="112"/>
      <c r="EJ74" s="112"/>
      <c r="EK74" s="112"/>
      <c r="EL74" s="112"/>
      <c r="EM74" s="112"/>
      <c r="EN74" s="112"/>
      <c r="EO74" s="112"/>
      <c r="EP74" s="112"/>
      <c r="EQ74" s="112"/>
      <c r="ER74" s="112"/>
      <c r="ES74" s="112"/>
      <c r="ET74" s="112"/>
      <c r="EU74" s="112"/>
      <c r="EV74" s="112"/>
      <c r="EW74" s="112"/>
      <c r="EX74" s="112"/>
      <c r="EY74" s="112"/>
      <c r="EZ74" s="112"/>
      <c r="FA74" s="112"/>
      <c r="FB74" s="112"/>
      <c r="FC74" s="112"/>
      <c r="FD74" s="112"/>
      <c r="FE74" s="112"/>
      <c r="FF74" s="112"/>
      <c r="FG74" s="112"/>
      <c r="FH74" s="112"/>
      <c r="FI74" s="112"/>
      <c r="FJ74" s="112"/>
      <c r="FK74" s="112"/>
      <c r="FL74" s="112"/>
      <c r="FM74" s="112"/>
      <c r="FN74" s="112"/>
      <c r="FO74" s="112"/>
      <c r="FP74" s="112"/>
      <c r="FQ74" s="112"/>
      <c r="FR74" s="112"/>
      <c r="FS74" s="112"/>
      <c r="FT74" s="112"/>
      <c r="FU74" s="112"/>
      <c r="FV74" s="112"/>
      <c r="FW74" s="112"/>
      <c r="FX74" s="112"/>
      <c r="FY74" s="112"/>
      <c r="FZ74" s="112"/>
      <c r="GA74" s="112"/>
      <c r="GB74" s="112"/>
      <c r="GC74" s="112"/>
      <c r="GD74" s="112"/>
      <c r="GE74" s="112"/>
      <c r="GF74" s="112"/>
      <c r="GG74" s="112"/>
      <c r="GH74" s="112"/>
      <c r="GI74" s="112"/>
      <c r="GJ74" s="112"/>
      <c r="GK74" s="112"/>
      <c r="GL74" s="112"/>
      <c r="GM74" s="112"/>
      <c r="GN74" s="112"/>
      <c r="GO74" s="112"/>
      <c r="GP74" s="112"/>
      <c r="GQ74" s="112"/>
      <c r="GR74" s="112"/>
      <c r="GS74" s="112"/>
      <c r="GT74" s="112"/>
      <c r="GU74" s="112"/>
      <c r="GV74" s="112"/>
      <c r="GW74" s="112"/>
      <c r="GX74" s="112"/>
      <c r="GY74" s="112"/>
      <c r="GZ74" s="112"/>
      <c r="HA74" s="112"/>
      <c r="HB74" s="112"/>
      <c r="HC74" s="112"/>
      <c r="HD74" s="112"/>
      <c r="HE74" s="112"/>
      <c r="HF74" s="112"/>
      <c r="HG74" s="112"/>
      <c r="HH74" s="112"/>
      <c r="HI74" s="112"/>
      <c r="HJ74" s="112"/>
      <c r="HK74" s="112"/>
      <c r="HL74" s="112"/>
      <c r="HM74" s="112"/>
      <c r="HN74" s="112"/>
      <c r="HO74" s="112"/>
      <c r="HP74" s="112"/>
      <c r="HQ74" s="112"/>
      <c r="HR74" s="112"/>
      <c r="HS74" s="112"/>
      <c r="HT74" s="112"/>
      <c r="HU74" s="112"/>
      <c r="HV74" s="112"/>
      <c r="HW74" s="112"/>
      <c r="HX74" s="112"/>
      <c r="HY74" s="112"/>
      <c r="HZ74" s="112"/>
      <c r="IA74" s="112"/>
      <c r="IB74" s="112"/>
      <c r="IC74" s="112"/>
      <c r="ID74" s="112"/>
      <c r="IE74" s="112"/>
      <c r="IF74" s="112"/>
      <c r="IG74" s="112"/>
      <c r="IH74" s="112"/>
      <c r="II74" s="112"/>
      <c r="IJ74" s="112"/>
      <c r="IK74" s="112"/>
      <c r="IL74" s="112"/>
      <c r="IM74" s="112"/>
      <c r="IN74" s="112"/>
      <c r="IO74" s="112"/>
      <c r="IP74" s="112"/>
      <c r="IQ74" s="112"/>
      <c r="IR74" s="112"/>
      <c r="IS74" s="112"/>
      <c r="IT74" s="112"/>
    </row>
    <row r="75" spans="1:254" s="113" customFormat="1" x14ac:dyDescent="0.2">
      <c r="A75" s="60"/>
      <c r="B75" s="110"/>
      <c r="C75" s="111"/>
      <c r="D75" s="63"/>
      <c r="E75" s="112"/>
      <c r="F75" s="112"/>
      <c r="G75" s="112"/>
      <c r="H75" s="112"/>
      <c r="I75" s="112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R75" s="112"/>
      <c r="AS75" s="112"/>
      <c r="AT75" s="112"/>
      <c r="AU75" s="112"/>
      <c r="AV75" s="112"/>
      <c r="AW75" s="112"/>
      <c r="AX75" s="112"/>
      <c r="AY75" s="112"/>
      <c r="AZ75" s="112"/>
      <c r="BA75" s="112"/>
      <c r="BB75" s="112"/>
      <c r="BC75" s="112"/>
      <c r="BD75" s="112"/>
      <c r="BE75" s="112"/>
      <c r="BF75" s="112"/>
      <c r="BG75" s="112"/>
      <c r="BH75" s="112"/>
      <c r="BI75" s="112"/>
      <c r="BJ75" s="112"/>
      <c r="BK75" s="112"/>
      <c r="BL75" s="112"/>
      <c r="BM75" s="112"/>
      <c r="BN75" s="112"/>
      <c r="BO75" s="112"/>
      <c r="BP75" s="112"/>
      <c r="BQ75" s="112"/>
      <c r="BR75" s="112"/>
      <c r="BS75" s="112"/>
      <c r="BT75" s="112"/>
      <c r="BU75" s="112"/>
      <c r="BV75" s="112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L75" s="112"/>
      <c r="CM75" s="112"/>
      <c r="CN75" s="112"/>
      <c r="CO75" s="112"/>
      <c r="CP75" s="112"/>
      <c r="CQ75" s="112"/>
      <c r="CR75" s="112"/>
      <c r="CS75" s="112"/>
      <c r="CT75" s="112"/>
      <c r="CU75" s="112"/>
      <c r="CV75" s="112"/>
      <c r="CW75" s="112"/>
      <c r="CX75" s="112"/>
      <c r="CY75" s="112"/>
      <c r="CZ75" s="112"/>
      <c r="DA75" s="112"/>
      <c r="DB75" s="112"/>
      <c r="DC75" s="112"/>
      <c r="DD75" s="112"/>
      <c r="DE75" s="112"/>
      <c r="DF75" s="112"/>
      <c r="DG75" s="112"/>
      <c r="DH75" s="112"/>
      <c r="DI75" s="112"/>
      <c r="DJ75" s="112"/>
      <c r="DK75" s="112"/>
      <c r="DL75" s="112"/>
      <c r="DM75" s="112"/>
      <c r="DN75" s="112"/>
      <c r="DO75" s="112"/>
      <c r="DP75" s="112"/>
      <c r="DQ75" s="112"/>
      <c r="DR75" s="112"/>
      <c r="DS75" s="112"/>
      <c r="DT75" s="112"/>
      <c r="DU75" s="112"/>
      <c r="DV75" s="112"/>
      <c r="DW75" s="112"/>
      <c r="DX75" s="112"/>
      <c r="DY75" s="112"/>
      <c r="DZ75" s="112"/>
      <c r="EA75" s="112"/>
      <c r="EB75" s="112"/>
      <c r="EC75" s="112"/>
      <c r="ED75" s="112"/>
      <c r="EE75" s="112"/>
      <c r="EF75" s="112"/>
      <c r="EG75" s="112"/>
      <c r="EH75" s="112"/>
      <c r="EI75" s="112"/>
      <c r="EJ75" s="112"/>
      <c r="EK75" s="112"/>
      <c r="EL75" s="112"/>
      <c r="EM75" s="112"/>
      <c r="EN75" s="112"/>
      <c r="EO75" s="112"/>
      <c r="EP75" s="112"/>
      <c r="EQ75" s="112"/>
      <c r="ER75" s="112"/>
      <c r="ES75" s="112"/>
      <c r="ET75" s="112"/>
      <c r="EU75" s="112"/>
      <c r="EV75" s="112"/>
      <c r="EW75" s="112"/>
      <c r="EX75" s="112"/>
      <c r="EY75" s="112"/>
      <c r="EZ75" s="112"/>
      <c r="FA75" s="112"/>
      <c r="FB75" s="112"/>
      <c r="FC75" s="112"/>
      <c r="FD75" s="112"/>
      <c r="FE75" s="112"/>
      <c r="FF75" s="112"/>
      <c r="FG75" s="112"/>
      <c r="FH75" s="112"/>
      <c r="FI75" s="112"/>
      <c r="FJ75" s="112"/>
      <c r="FK75" s="112"/>
      <c r="FL75" s="112"/>
      <c r="FM75" s="112"/>
      <c r="FN75" s="112"/>
      <c r="FO75" s="112"/>
      <c r="FP75" s="112"/>
      <c r="FQ75" s="112"/>
      <c r="FR75" s="112"/>
      <c r="FS75" s="112"/>
      <c r="FT75" s="112"/>
      <c r="FU75" s="112"/>
      <c r="FV75" s="112"/>
      <c r="FW75" s="112"/>
      <c r="FX75" s="112"/>
      <c r="FY75" s="112"/>
      <c r="FZ75" s="112"/>
      <c r="GA75" s="112"/>
      <c r="GB75" s="112"/>
      <c r="GC75" s="112"/>
      <c r="GD75" s="112"/>
      <c r="GE75" s="112"/>
      <c r="GF75" s="112"/>
      <c r="GG75" s="112"/>
      <c r="GH75" s="112"/>
      <c r="GI75" s="112"/>
      <c r="GJ75" s="112"/>
      <c r="GK75" s="112"/>
      <c r="GL75" s="112"/>
      <c r="GM75" s="112"/>
      <c r="GN75" s="112"/>
      <c r="GO75" s="112"/>
      <c r="GP75" s="112"/>
      <c r="GQ75" s="112"/>
      <c r="GR75" s="112"/>
      <c r="GS75" s="112"/>
      <c r="GT75" s="112"/>
      <c r="GU75" s="112"/>
      <c r="GV75" s="112"/>
      <c r="GW75" s="112"/>
      <c r="GX75" s="112"/>
      <c r="GY75" s="112"/>
      <c r="GZ75" s="112"/>
      <c r="HA75" s="112"/>
      <c r="HB75" s="112"/>
      <c r="HC75" s="112"/>
      <c r="HD75" s="112"/>
      <c r="HE75" s="112"/>
      <c r="HF75" s="112"/>
      <c r="HG75" s="112"/>
      <c r="HH75" s="112"/>
      <c r="HI75" s="112"/>
      <c r="HJ75" s="112"/>
      <c r="HK75" s="112"/>
      <c r="HL75" s="112"/>
      <c r="HM75" s="112"/>
      <c r="HN75" s="112"/>
      <c r="HO75" s="112"/>
      <c r="HP75" s="112"/>
      <c r="HQ75" s="112"/>
      <c r="HR75" s="112"/>
      <c r="HS75" s="112"/>
      <c r="HT75" s="112"/>
      <c r="HU75" s="112"/>
      <c r="HV75" s="112"/>
      <c r="HW75" s="112"/>
      <c r="HX75" s="112"/>
      <c r="HY75" s="112"/>
      <c r="HZ75" s="112"/>
      <c r="IA75" s="112"/>
      <c r="IB75" s="112"/>
      <c r="IC75" s="112"/>
      <c r="ID75" s="112"/>
      <c r="IE75" s="112"/>
      <c r="IF75" s="112"/>
      <c r="IG75" s="112"/>
      <c r="IH75" s="112"/>
      <c r="II75" s="112"/>
      <c r="IJ75" s="112"/>
      <c r="IK75" s="112"/>
      <c r="IL75" s="112"/>
      <c r="IM75" s="112"/>
      <c r="IN75" s="112"/>
      <c r="IO75" s="112"/>
      <c r="IP75" s="112"/>
      <c r="IQ75" s="112"/>
      <c r="IR75" s="112"/>
      <c r="IS75" s="112"/>
      <c r="IT75" s="112"/>
    </row>
    <row r="76" spans="1:254" s="113" customFormat="1" x14ac:dyDescent="0.2">
      <c r="A76" s="60"/>
      <c r="B76" s="110"/>
      <c r="C76" s="111"/>
      <c r="D76" s="63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R76" s="112"/>
      <c r="AS76" s="112"/>
      <c r="AT76" s="112"/>
      <c r="AU76" s="112"/>
      <c r="AV76" s="112"/>
      <c r="AW76" s="112"/>
      <c r="AX76" s="112"/>
      <c r="AY76" s="112"/>
      <c r="AZ76" s="112"/>
      <c r="BA76" s="112"/>
      <c r="BB76" s="112"/>
      <c r="BC76" s="112"/>
      <c r="BD76" s="112"/>
      <c r="BE76" s="112"/>
      <c r="BF76" s="112"/>
      <c r="BG76" s="112"/>
      <c r="BH76" s="112"/>
      <c r="BI76" s="112"/>
      <c r="BJ76" s="112"/>
      <c r="BK76" s="112"/>
      <c r="BL76" s="112"/>
      <c r="BM76" s="112"/>
      <c r="BN76" s="112"/>
      <c r="BO76" s="112"/>
      <c r="BP76" s="112"/>
      <c r="BQ76" s="112"/>
      <c r="BR76" s="112"/>
      <c r="BS76" s="112"/>
      <c r="BT76" s="112"/>
      <c r="BU76" s="112"/>
      <c r="BV76" s="112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L76" s="112"/>
      <c r="CM76" s="112"/>
      <c r="CN76" s="112"/>
      <c r="CO76" s="112"/>
      <c r="CP76" s="112"/>
      <c r="CQ76" s="112"/>
      <c r="CR76" s="112"/>
      <c r="CS76" s="112"/>
      <c r="CT76" s="112"/>
      <c r="CU76" s="112"/>
      <c r="CV76" s="112"/>
      <c r="CW76" s="112"/>
      <c r="CX76" s="112"/>
      <c r="CY76" s="112"/>
      <c r="CZ76" s="112"/>
      <c r="DA76" s="112"/>
      <c r="DB76" s="112"/>
      <c r="DC76" s="112"/>
      <c r="DD76" s="112"/>
      <c r="DE76" s="112"/>
      <c r="DF76" s="112"/>
      <c r="DG76" s="112"/>
      <c r="DH76" s="112"/>
      <c r="DI76" s="112"/>
      <c r="DJ76" s="112"/>
      <c r="DK76" s="112"/>
      <c r="DL76" s="112"/>
      <c r="DM76" s="112"/>
      <c r="DN76" s="112"/>
      <c r="DO76" s="112"/>
      <c r="DP76" s="112"/>
      <c r="DQ76" s="112"/>
      <c r="DR76" s="112"/>
      <c r="DS76" s="112"/>
      <c r="DT76" s="112"/>
      <c r="DU76" s="112"/>
      <c r="DV76" s="112"/>
      <c r="DW76" s="112"/>
      <c r="DX76" s="112"/>
      <c r="DY76" s="112"/>
      <c r="DZ76" s="112"/>
      <c r="EA76" s="112"/>
      <c r="EB76" s="112"/>
      <c r="EC76" s="112"/>
      <c r="ED76" s="112"/>
      <c r="EE76" s="112"/>
      <c r="EF76" s="112"/>
      <c r="EG76" s="112"/>
      <c r="EH76" s="112"/>
      <c r="EI76" s="112"/>
      <c r="EJ76" s="112"/>
      <c r="EK76" s="112"/>
      <c r="EL76" s="112"/>
      <c r="EM76" s="112"/>
      <c r="EN76" s="112"/>
      <c r="EO76" s="112"/>
      <c r="EP76" s="112"/>
      <c r="EQ76" s="112"/>
      <c r="ER76" s="112"/>
      <c r="ES76" s="112"/>
      <c r="ET76" s="112"/>
      <c r="EU76" s="112"/>
      <c r="EV76" s="112"/>
      <c r="EW76" s="112"/>
      <c r="EX76" s="112"/>
      <c r="EY76" s="112"/>
      <c r="EZ76" s="112"/>
      <c r="FA76" s="112"/>
      <c r="FB76" s="112"/>
      <c r="FC76" s="112"/>
      <c r="FD76" s="112"/>
      <c r="FE76" s="112"/>
      <c r="FF76" s="112"/>
      <c r="FG76" s="112"/>
      <c r="FH76" s="112"/>
      <c r="FI76" s="112"/>
      <c r="FJ76" s="112"/>
      <c r="FK76" s="112"/>
      <c r="FL76" s="112"/>
      <c r="FM76" s="112"/>
      <c r="FN76" s="112"/>
      <c r="FO76" s="112"/>
      <c r="FP76" s="112"/>
      <c r="FQ76" s="112"/>
      <c r="FR76" s="112"/>
      <c r="FS76" s="112"/>
      <c r="FT76" s="112"/>
      <c r="FU76" s="112"/>
      <c r="FV76" s="112"/>
      <c r="FW76" s="112"/>
      <c r="FX76" s="112"/>
      <c r="FY76" s="112"/>
      <c r="FZ76" s="112"/>
      <c r="GA76" s="112"/>
      <c r="GB76" s="112"/>
      <c r="GC76" s="112"/>
      <c r="GD76" s="112"/>
      <c r="GE76" s="112"/>
      <c r="GF76" s="112"/>
      <c r="GG76" s="112"/>
      <c r="GH76" s="112"/>
      <c r="GI76" s="112"/>
      <c r="GJ76" s="112"/>
      <c r="GK76" s="112"/>
      <c r="GL76" s="112"/>
      <c r="GM76" s="112"/>
      <c r="GN76" s="112"/>
      <c r="GO76" s="112"/>
      <c r="GP76" s="112"/>
      <c r="GQ76" s="112"/>
      <c r="GR76" s="112"/>
      <c r="GS76" s="112"/>
      <c r="GT76" s="112"/>
      <c r="GU76" s="112"/>
      <c r="GV76" s="112"/>
      <c r="GW76" s="112"/>
      <c r="GX76" s="112"/>
      <c r="GY76" s="112"/>
      <c r="GZ76" s="112"/>
      <c r="HA76" s="112"/>
      <c r="HB76" s="112"/>
      <c r="HC76" s="112"/>
      <c r="HD76" s="112"/>
      <c r="HE76" s="112"/>
      <c r="HF76" s="112"/>
      <c r="HG76" s="112"/>
      <c r="HH76" s="112"/>
      <c r="HI76" s="112"/>
      <c r="HJ76" s="112"/>
      <c r="HK76" s="112"/>
      <c r="HL76" s="112"/>
      <c r="HM76" s="112"/>
      <c r="HN76" s="112"/>
      <c r="HO76" s="112"/>
      <c r="HP76" s="112"/>
      <c r="HQ76" s="112"/>
      <c r="HR76" s="112"/>
      <c r="HS76" s="112"/>
      <c r="HT76" s="112"/>
      <c r="HU76" s="112"/>
      <c r="HV76" s="112"/>
      <c r="HW76" s="112"/>
      <c r="HX76" s="112"/>
      <c r="HY76" s="112"/>
      <c r="HZ76" s="112"/>
      <c r="IA76" s="112"/>
      <c r="IB76" s="112"/>
      <c r="IC76" s="112"/>
      <c r="ID76" s="112"/>
      <c r="IE76" s="112"/>
      <c r="IF76" s="112"/>
      <c r="IG76" s="112"/>
      <c r="IH76" s="112"/>
      <c r="II76" s="112"/>
      <c r="IJ76" s="112"/>
      <c r="IK76" s="112"/>
      <c r="IL76" s="112"/>
      <c r="IM76" s="112"/>
      <c r="IN76" s="112"/>
      <c r="IO76" s="112"/>
      <c r="IP76" s="112"/>
      <c r="IQ76" s="112"/>
      <c r="IR76" s="112"/>
      <c r="IS76" s="112"/>
      <c r="IT76" s="112"/>
    </row>
    <row r="77" spans="1:254" s="113" customFormat="1" x14ac:dyDescent="0.2">
      <c r="A77" s="60"/>
      <c r="B77" s="110"/>
      <c r="C77" s="111"/>
      <c r="D77" s="63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112"/>
      <c r="AS77" s="112"/>
      <c r="AT77" s="112"/>
      <c r="AU77" s="112"/>
      <c r="AV77" s="112"/>
      <c r="AW77" s="112"/>
      <c r="AX77" s="112"/>
      <c r="AY77" s="112"/>
      <c r="AZ77" s="112"/>
      <c r="BA77" s="112"/>
      <c r="BB77" s="112"/>
      <c r="BC77" s="112"/>
      <c r="BD77" s="112"/>
      <c r="BE77" s="112"/>
      <c r="BF77" s="112"/>
      <c r="BG77" s="112"/>
      <c r="BH77" s="112"/>
      <c r="BI77" s="112"/>
      <c r="BJ77" s="112"/>
      <c r="BK77" s="112"/>
      <c r="BL77" s="112"/>
      <c r="BM77" s="112"/>
      <c r="BN77" s="112"/>
      <c r="BO77" s="112"/>
      <c r="BP77" s="112"/>
      <c r="BQ77" s="112"/>
      <c r="BR77" s="112"/>
      <c r="BS77" s="112"/>
      <c r="BT77" s="112"/>
      <c r="BU77" s="112"/>
      <c r="BV77" s="112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L77" s="112"/>
      <c r="CM77" s="112"/>
      <c r="CN77" s="112"/>
      <c r="CO77" s="112"/>
      <c r="CP77" s="112"/>
      <c r="CQ77" s="112"/>
      <c r="CR77" s="112"/>
      <c r="CS77" s="112"/>
      <c r="CT77" s="112"/>
      <c r="CU77" s="112"/>
      <c r="CV77" s="112"/>
      <c r="CW77" s="112"/>
      <c r="CX77" s="112"/>
      <c r="CY77" s="112"/>
      <c r="CZ77" s="112"/>
      <c r="DA77" s="112"/>
      <c r="DB77" s="112"/>
      <c r="DC77" s="112"/>
      <c r="DD77" s="112"/>
      <c r="DE77" s="112"/>
      <c r="DF77" s="112"/>
      <c r="DG77" s="112"/>
      <c r="DH77" s="112"/>
      <c r="DI77" s="112"/>
      <c r="DJ77" s="112"/>
      <c r="DK77" s="112"/>
      <c r="DL77" s="112"/>
      <c r="DM77" s="112"/>
      <c r="DN77" s="112"/>
      <c r="DO77" s="112"/>
      <c r="DP77" s="112"/>
      <c r="DQ77" s="112"/>
      <c r="DR77" s="112"/>
      <c r="DS77" s="112"/>
      <c r="DT77" s="112"/>
      <c r="DU77" s="112"/>
      <c r="DV77" s="112"/>
      <c r="DW77" s="112"/>
      <c r="DX77" s="112"/>
      <c r="DY77" s="112"/>
      <c r="DZ77" s="112"/>
      <c r="EA77" s="112"/>
      <c r="EB77" s="112"/>
      <c r="EC77" s="112"/>
      <c r="ED77" s="112"/>
      <c r="EE77" s="112"/>
      <c r="EF77" s="112"/>
      <c r="EG77" s="112"/>
      <c r="EH77" s="112"/>
      <c r="EI77" s="112"/>
      <c r="EJ77" s="112"/>
      <c r="EK77" s="112"/>
      <c r="EL77" s="112"/>
      <c r="EM77" s="112"/>
      <c r="EN77" s="112"/>
      <c r="EO77" s="112"/>
      <c r="EP77" s="112"/>
      <c r="EQ77" s="112"/>
      <c r="ER77" s="112"/>
      <c r="ES77" s="112"/>
      <c r="ET77" s="112"/>
      <c r="EU77" s="112"/>
      <c r="EV77" s="112"/>
      <c r="EW77" s="112"/>
      <c r="EX77" s="112"/>
      <c r="EY77" s="112"/>
      <c r="EZ77" s="112"/>
      <c r="FA77" s="112"/>
      <c r="FB77" s="112"/>
      <c r="FC77" s="112"/>
      <c r="FD77" s="112"/>
      <c r="FE77" s="112"/>
      <c r="FF77" s="112"/>
      <c r="FG77" s="112"/>
      <c r="FH77" s="112"/>
      <c r="FI77" s="112"/>
      <c r="FJ77" s="112"/>
      <c r="FK77" s="112"/>
      <c r="FL77" s="112"/>
      <c r="FM77" s="112"/>
      <c r="FN77" s="112"/>
      <c r="FO77" s="112"/>
      <c r="FP77" s="112"/>
      <c r="FQ77" s="112"/>
      <c r="FR77" s="112"/>
      <c r="FS77" s="112"/>
      <c r="FT77" s="112"/>
      <c r="FU77" s="112"/>
      <c r="FV77" s="112"/>
      <c r="FW77" s="112"/>
      <c r="FX77" s="112"/>
      <c r="FY77" s="112"/>
      <c r="FZ77" s="112"/>
      <c r="GA77" s="112"/>
      <c r="GB77" s="112"/>
      <c r="GC77" s="112"/>
      <c r="GD77" s="112"/>
      <c r="GE77" s="112"/>
      <c r="GF77" s="112"/>
      <c r="GG77" s="112"/>
      <c r="GH77" s="112"/>
      <c r="GI77" s="112"/>
      <c r="GJ77" s="112"/>
      <c r="GK77" s="112"/>
      <c r="GL77" s="112"/>
      <c r="GM77" s="112"/>
      <c r="GN77" s="112"/>
      <c r="GO77" s="112"/>
      <c r="GP77" s="112"/>
      <c r="GQ77" s="112"/>
      <c r="GR77" s="112"/>
      <c r="GS77" s="112"/>
      <c r="GT77" s="112"/>
      <c r="GU77" s="112"/>
      <c r="GV77" s="112"/>
      <c r="GW77" s="112"/>
      <c r="GX77" s="112"/>
      <c r="GY77" s="112"/>
      <c r="GZ77" s="112"/>
      <c r="HA77" s="112"/>
      <c r="HB77" s="112"/>
      <c r="HC77" s="112"/>
      <c r="HD77" s="112"/>
      <c r="HE77" s="112"/>
      <c r="HF77" s="112"/>
      <c r="HG77" s="112"/>
      <c r="HH77" s="112"/>
      <c r="HI77" s="112"/>
      <c r="HJ77" s="112"/>
      <c r="HK77" s="112"/>
      <c r="HL77" s="112"/>
      <c r="HM77" s="112"/>
      <c r="HN77" s="112"/>
      <c r="HO77" s="112"/>
      <c r="HP77" s="112"/>
      <c r="HQ77" s="112"/>
      <c r="HR77" s="112"/>
      <c r="HS77" s="112"/>
      <c r="HT77" s="112"/>
      <c r="HU77" s="112"/>
      <c r="HV77" s="112"/>
      <c r="HW77" s="112"/>
      <c r="HX77" s="112"/>
      <c r="HY77" s="112"/>
      <c r="HZ77" s="112"/>
      <c r="IA77" s="112"/>
      <c r="IB77" s="112"/>
      <c r="IC77" s="112"/>
      <c r="ID77" s="112"/>
      <c r="IE77" s="112"/>
      <c r="IF77" s="112"/>
      <c r="IG77" s="112"/>
      <c r="IH77" s="112"/>
      <c r="II77" s="112"/>
      <c r="IJ77" s="112"/>
      <c r="IK77" s="112"/>
      <c r="IL77" s="112"/>
      <c r="IM77" s="112"/>
      <c r="IN77" s="112"/>
      <c r="IO77" s="112"/>
      <c r="IP77" s="112"/>
      <c r="IQ77" s="112"/>
      <c r="IR77" s="112"/>
      <c r="IS77" s="112"/>
      <c r="IT77" s="112"/>
    </row>
    <row r="78" spans="1:254" s="113" customFormat="1" x14ac:dyDescent="0.2">
      <c r="A78" s="60"/>
      <c r="B78" s="110"/>
      <c r="C78" s="111"/>
      <c r="D78" s="63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R78" s="112"/>
      <c r="AS78" s="112"/>
      <c r="AT78" s="112"/>
      <c r="AU78" s="112"/>
      <c r="AV78" s="112"/>
      <c r="AW78" s="112"/>
      <c r="AX78" s="112"/>
      <c r="AY78" s="112"/>
      <c r="AZ78" s="112"/>
      <c r="BA78" s="112"/>
      <c r="BB78" s="112"/>
      <c r="BC78" s="112"/>
      <c r="BD78" s="112"/>
      <c r="BE78" s="112"/>
      <c r="BF78" s="112"/>
      <c r="BG78" s="112"/>
      <c r="BH78" s="112"/>
      <c r="BI78" s="112"/>
      <c r="BJ78" s="112"/>
      <c r="BK78" s="112"/>
      <c r="BL78" s="112"/>
      <c r="BM78" s="112"/>
      <c r="BN78" s="112"/>
      <c r="BO78" s="112"/>
      <c r="BP78" s="112"/>
      <c r="BQ78" s="112"/>
      <c r="BR78" s="112"/>
      <c r="BS78" s="112"/>
      <c r="BT78" s="112"/>
      <c r="BU78" s="112"/>
      <c r="BV78" s="112"/>
      <c r="BW78" s="112"/>
      <c r="BX78" s="112"/>
      <c r="BY78" s="112"/>
      <c r="BZ78" s="112"/>
      <c r="CA78" s="112"/>
      <c r="CB78" s="112"/>
      <c r="CC78" s="112"/>
      <c r="CD78" s="112"/>
      <c r="CE78" s="112"/>
      <c r="CF78" s="112"/>
      <c r="CG78" s="112"/>
      <c r="CH78" s="112"/>
      <c r="CI78" s="112"/>
      <c r="CJ78" s="112"/>
      <c r="CK78" s="112"/>
      <c r="CL78" s="112"/>
      <c r="CM78" s="112"/>
      <c r="CN78" s="112"/>
      <c r="CO78" s="112"/>
      <c r="CP78" s="112"/>
      <c r="CQ78" s="112"/>
      <c r="CR78" s="112"/>
      <c r="CS78" s="112"/>
      <c r="CT78" s="112"/>
      <c r="CU78" s="112"/>
      <c r="CV78" s="112"/>
      <c r="CW78" s="112"/>
      <c r="CX78" s="112"/>
      <c r="CY78" s="112"/>
      <c r="CZ78" s="112"/>
      <c r="DA78" s="112"/>
      <c r="DB78" s="112"/>
      <c r="DC78" s="112"/>
      <c r="DD78" s="112"/>
      <c r="DE78" s="112"/>
      <c r="DF78" s="112"/>
      <c r="DG78" s="112"/>
      <c r="DH78" s="112"/>
      <c r="DI78" s="112"/>
      <c r="DJ78" s="112"/>
      <c r="DK78" s="112"/>
      <c r="DL78" s="112"/>
      <c r="DM78" s="112"/>
      <c r="DN78" s="112"/>
      <c r="DO78" s="112"/>
      <c r="DP78" s="112"/>
      <c r="DQ78" s="112"/>
      <c r="DR78" s="112"/>
      <c r="DS78" s="112"/>
      <c r="DT78" s="112"/>
      <c r="DU78" s="112"/>
      <c r="DV78" s="112"/>
      <c r="DW78" s="112"/>
      <c r="DX78" s="112"/>
      <c r="DY78" s="112"/>
      <c r="DZ78" s="112"/>
      <c r="EA78" s="112"/>
      <c r="EB78" s="112"/>
      <c r="EC78" s="112"/>
      <c r="ED78" s="112"/>
      <c r="EE78" s="112"/>
      <c r="EF78" s="112"/>
      <c r="EG78" s="112"/>
      <c r="EH78" s="112"/>
      <c r="EI78" s="112"/>
      <c r="EJ78" s="112"/>
      <c r="EK78" s="112"/>
      <c r="EL78" s="112"/>
      <c r="EM78" s="112"/>
      <c r="EN78" s="112"/>
      <c r="EO78" s="112"/>
      <c r="EP78" s="112"/>
      <c r="EQ78" s="112"/>
      <c r="ER78" s="112"/>
      <c r="ES78" s="112"/>
      <c r="ET78" s="112"/>
      <c r="EU78" s="112"/>
      <c r="EV78" s="112"/>
      <c r="EW78" s="112"/>
      <c r="EX78" s="112"/>
      <c r="EY78" s="112"/>
      <c r="EZ78" s="112"/>
      <c r="FA78" s="112"/>
      <c r="FB78" s="112"/>
      <c r="FC78" s="112"/>
      <c r="FD78" s="112"/>
      <c r="FE78" s="112"/>
      <c r="FF78" s="112"/>
      <c r="FG78" s="112"/>
      <c r="FH78" s="112"/>
      <c r="FI78" s="112"/>
      <c r="FJ78" s="112"/>
      <c r="FK78" s="112"/>
      <c r="FL78" s="112"/>
      <c r="FM78" s="112"/>
      <c r="FN78" s="112"/>
      <c r="FO78" s="112"/>
      <c r="FP78" s="112"/>
      <c r="FQ78" s="112"/>
      <c r="FR78" s="112"/>
      <c r="FS78" s="112"/>
      <c r="FT78" s="112"/>
      <c r="FU78" s="112"/>
      <c r="FV78" s="112"/>
      <c r="FW78" s="112"/>
      <c r="FX78" s="112"/>
      <c r="FY78" s="112"/>
      <c r="FZ78" s="112"/>
      <c r="GA78" s="112"/>
      <c r="GB78" s="112"/>
      <c r="GC78" s="112"/>
      <c r="GD78" s="112"/>
      <c r="GE78" s="112"/>
      <c r="GF78" s="112"/>
      <c r="GG78" s="112"/>
      <c r="GH78" s="112"/>
      <c r="GI78" s="112"/>
      <c r="GJ78" s="112"/>
      <c r="GK78" s="112"/>
      <c r="GL78" s="112"/>
      <c r="GM78" s="112"/>
      <c r="GN78" s="112"/>
      <c r="GO78" s="112"/>
      <c r="GP78" s="112"/>
      <c r="GQ78" s="112"/>
      <c r="GR78" s="112"/>
      <c r="GS78" s="112"/>
      <c r="GT78" s="112"/>
      <c r="GU78" s="112"/>
      <c r="GV78" s="112"/>
      <c r="GW78" s="112"/>
      <c r="GX78" s="112"/>
      <c r="GY78" s="112"/>
      <c r="GZ78" s="112"/>
      <c r="HA78" s="112"/>
      <c r="HB78" s="112"/>
      <c r="HC78" s="112"/>
      <c r="HD78" s="112"/>
      <c r="HE78" s="112"/>
      <c r="HF78" s="112"/>
      <c r="HG78" s="112"/>
      <c r="HH78" s="112"/>
      <c r="HI78" s="112"/>
      <c r="HJ78" s="112"/>
      <c r="HK78" s="112"/>
      <c r="HL78" s="112"/>
      <c r="HM78" s="112"/>
      <c r="HN78" s="112"/>
      <c r="HO78" s="112"/>
      <c r="HP78" s="112"/>
      <c r="HQ78" s="112"/>
      <c r="HR78" s="112"/>
      <c r="HS78" s="112"/>
      <c r="HT78" s="112"/>
      <c r="HU78" s="112"/>
      <c r="HV78" s="112"/>
      <c r="HW78" s="112"/>
      <c r="HX78" s="112"/>
      <c r="HY78" s="112"/>
      <c r="HZ78" s="112"/>
      <c r="IA78" s="112"/>
      <c r="IB78" s="112"/>
      <c r="IC78" s="112"/>
      <c r="ID78" s="112"/>
      <c r="IE78" s="112"/>
      <c r="IF78" s="112"/>
      <c r="IG78" s="112"/>
      <c r="IH78" s="112"/>
      <c r="II78" s="112"/>
      <c r="IJ78" s="112"/>
      <c r="IK78" s="112"/>
      <c r="IL78" s="112"/>
      <c r="IM78" s="112"/>
      <c r="IN78" s="112"/>
      <c r="IO78" s="112"/>
      <c r="IP78" s="112"/>
      <c r="IQ78" s="112"/>
      <c r="IR78" s="112"/>
      <c r="IS78" s="112"/>
      <c r="IT78" s="112"/>
    </row>
    <row r="79" spans="1:254" s="113" customFormat="1" x14ac:dyDescent="0.2">
      <c r="A79" s="60"/>
      <c r="B79" s="110"/>
      <c r="C79" s="111"/>
      <c r="D79" s="63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112"/>
      <c r="AS79" s="112"/>
      <c r="AT79" s="112"/>
      <c r="AU79" s="112"/>
      <c r="AV79" s="112"/>
      <c r="AW79" s="112"/>
      <c r="AX79" s="112"/>
      <c r="AY79" s="112"/>
      <c r="AZ79" s="112"/>
      <c r="BA79" s="112"/>
      <c r="BB79" s="112"/>
      <c r="BC79" s="112"/>
      <c r="BD79" s="112"/>
      <c r="BE79" s="112"/>
      <c r="BF79" s="112"/>
      <c r="BG79" s="112"/>
      <c r="BH79" s="112"/>
      <c r="BI79" s="112"/>
      <c r="BJ79" s="112"/>
      <c r="BK79" s="112"/>
      <c r="BL79" s="112"/>
      <c r="BM79" s="112"/>
      <c r="BN79" s="112"/>
      <c r="BO79" s="112"/>
      <c r="BP79" s="112"/>
      <c r="BQ79" s="112"/>
      <c r="BR79" s="112"/>
      <c r="BS79" s="112"/>
      <c r="BT79" s="112"/>
      <c r="BU79" s="112"/>
      <c r="BV79" s="112"/>
      <c r="BW79" s="112"/>
      <c r="BX79" s="112"/>
      <c r="BY79" s="112"/>
      <c r="BZ79" s="112"/>
      <c r="CA79" s="112"/>
      <c r="CB79" s="112"/>
      <c r="CC79" s="112"/>
      <c r="CD79" s="112"/>
      <c r="CE79" s="112"/>
      <c r="CF79" s="112"/>
      <c r="CG79" s="112"/>
      <c r="CH79" s="112"/>
      <c r="CI79" s="112"/>
      <c r="CJ79" s="112"/>
      <c r="CK79" s="112"/>
      <c r="CL79" s="112"/>
      <c r="CM79" s="112"/>
      <c r="CN79" s="112"/>
      <c r="CO79" s="112"/>
      <c r="CP79" s="112"/>
      <c r="CQ79" s="112"/>
      <c r="CR79" s="112"/>
      <c r="CS79" s="112"/>
      <c r="CT79" s="112"/>
      <c r="CU79" s="112"/>
      <c r="CV79" s="112"/>
      <c r="CW79" s="112"/>
      <c r="CX79" s="112"/>
      <c r="CY79" s="112"/>
      <c r="CZ79" s="112"/>
      <c r="DA79" s="112"/>
      <c r="DB79" s="112"/>
      <c r="DC79" s="112"/>
      <c r="DD79" s="112"/>
      <c r="DE79" s="112"/>
      <c r="DF79" s="112"/>
      <c r="DG79" s="112"/>
      <c r="DH79" s="112"/>
      <c r="DI79" s="112"/>
      <c r="DJ79" s="112"/>
      <c r="DK79" s="112"/>
      <c r="DL79" s="112"/>
      <c r="DM79" s="112"/>
      <c r="DN79" s="112"/>
      <c r="DO79" s="112"/>
      <c r="DP79" s="112"/>
      <c r="DQ79" s="112"/>
      <c r="DR79" s="112"/>
      <c r="DS79" s="112"/>
      <c r="DT79" s="112"/>
      <c r="DU79" s="112"/>
      <c r="DV79" s="112"/>
      <c r="DW79" s="112"/>
      <c r="DX79" s="112"/>
      <c r="DY79" s="112"/>
      <c r="DZ79" s="112"/>
      <c r="EA79" s="112"/>
      <c r="EB79" s="112"/>
      <c r="EC79" s="112"/>
      <c r="ED79" s="112"/>
      <c r="EE79" s="112"/>
      <c r="EF79" s="112"/>
      <c r="EG79" s="112"/>
      <c r="EH79" s="112"/>
      <c r="EI79" s="112"/>
      <c r="EJ79" s="112"/>
      <c r="EK79" s="112"/>
      <c r="EL79" s="112"/>
      <c r="EM79" s="112"/>
      <c r="EN79" s="112"/>
      <c r="EO79" s="112"/>
      <c r="EP79" s="112"/>
      <c r="EQ79" s="112"/>
      <c r="ER79" s="112"/>
      <c r="ES79" s="112"/>
      <c r="ET79" s="112"/>
      <c r="EU79" s="112"/>
      <c r="EV79" s="112"/>
      <c r="EW79" s="112"/>
      <c r="EX79" s="112"/>
      <c r="EY79" s="112"/>
      <c r="EZ79" s="112"/>
      <c r="FA79" s="112"/>
      <c r="FB79" s="112"/>
      <c r="FC79" s="112"/>
      <c r="FD79" s="112"/>
      <c r="FE79" s="112"/>
      <c r="FF79" s="112"/>
      <c r="FG79" s="112"/>
      <c r="FH79" s="112"/>
      <c r="FI79" s="112"/>
      <c r="FJ79" s="112"/>
      <c r="FK79" s="112"/>
      <c r="FL79" s="112"/>
      <c r="FM79" s="112"/>
      <c r="FN79" s="112"/>
      <c r="FO79" s="112"/>
      <c r="FP79" s="112"/>
      <c r="FQ79" s="112"/>
      <c r="FR79" s="112"/>
      <c r="FS79" s="112"/>
      <c r="FT79" s="112"/>
      <c r="FU79" s="112"/>
      <c r="FV79" s="112"/>
      <c r="FW79" s="112"/>
      <c r="FX79" s="112"/>
      <c r="FY79" s="112"/>
      <c r="FZ79" s="112"/>
      <c r="GA79" s="112"/>
      <c r="GB79" s="112"/>
      <c r="GC79" s="112"/>
      <c r="GD79" s="112"/>
      <c r="GE79" s="112"/>
      <c r="GF79" s="112"/>
      <c r="GG79" s="112"/>
      <c r="GH79" s="112"/>
      <c r="GI79" s="112"/>
      <c r="GJ79" s="112"/>
      <c r="GK79" s="112"/>
      <c r="GL79" s="112"/>
      <c r="GM79" s="112"/>
      <c r="GN79" s="112"/>
      <c r="GO79" s="112"/>
      <c r="GP79" s="112"/>
      <c r="GQ79" s="112"/>
      <c r="GR79" s="112"/>
      <c r="GS79" s="112"/>
      <c r="GT79" s="112"/>
      <c r="GU79" s="112"/>
      <c r="GV79" s="112"/>
      <c r="GW79" s="112"/>
      <c r="GX79" s="112"/>
      <c r="GY79" s="112"/>
      <c r="GZ79" s="112"/>
      <c r="HA79" s="112"/>
      <c r="HB79" s="112"/>
      <c r="HC79" s="112"/>
      <c r="HD79" s="112"/>
      <c r="HE79" s="112"/>
      <c r="HF79" s="112"/>
      <c r="HG79" s="112"/>
      <c r="HH79" s="112"/>
      <c r="HI79" s="112"/>
      <c r="HJ79" s="112"/>
      <c r="HK79" s="112"/>
      <c r="HL79" s="112"/>
      <c r="HM79" s="112"/>
      <c r="HN79" s="112"/>
      <c r="HO79" s="112"/>
      <c r="HP79" s="112"/>
      <c r="HQ79" s="112"/>
      <c r="HR79" s="112"/>
      <c r="HS79" s="112"/>
      <c r="HT79" s="112"/>
      <c r="HU79" s="112"/>
      <c r="HV79" s="112"/>
      <c r="HW79" s="112"/>
      <c r="HX79" s="112"/>
      <c r="HY79" s="112"/>
      <c r="HZ79" s="112"/>
      <c r="IA79" s="112"/>
      <c r="IB79" s="112"/>
      <c r="IC79" s="112"/>
      <c r="ID79" s="112"/>
      <c r="IE79" s="112"/>
      <c r="IF79" s="112"/>
      <c r="IG79" s="112"/>
      <c r="IH79" s="112"/>
      <c r="II79" s="112"/>
      <c r="IJ79" s="112"/>
      <c r="IK79" s="112"/>
      <c r="IL79" s="112"/>
      <c r="IM79" s="112"/>
      <c r="IN79" s="112"/>
      <c r="IO79" s="112"/>
      <c r="IP79" s="112"/>
      <c r="IQ79" s="112"/>
      <c r="IR79" s="112"/>
      <c r="IS79" s="112"/>
      <c r="IT79" s="112"/>
    </row>
    <row r="80" spans="1:254" s="113" customFormat="1" x14ac:dyDescent="0.2">
      <c r="A80" s="60"/>
      <c r="B80" s="110"/>
      <c r="C80" s="111"/>
      <c r="D80" s="63"/>
      <c r="E80" s="112"/>
      <c r="F80" s="112"/>
      <c r="G80" s="112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R80" s="112"/>
      <c r="AS80" s="112"/>
      <c r="AT80" s="112"/>
      <c r="AU80" s="112"/>
      <c r="AV80" s="112"/>
      <c r="AW80" s="112"/>
      <c r="AX80" s="112"/>
      <c r="AY80" s="112"/>
      <c r="AZ80" s="112"/>
      <c r="BA80" s="112"/>
      <c r="BB80" s="112"/>
      <c r="BC80" s="112"/>
      <c r="BD80" s="112"/>
      <c r="BE80" s="112"/>
      <c r="BF80" s="112"/>
      <c r="BG80" s="112"/>
      <c r="BH80" s="112"/>
      <c r="BI80" s="112"/>
      <c r="BJ80" s="112"/>
      <c r="BK80" s="112"/>
      <c r="BL80" s="112"/>
      <c r="BM80" s="112"/>
      <c r="BN80" s="112"/>
      <c r="BO80" s="112"/>
      <c r="BP80" s="112"/>
      <c r="BQ80" s="112"/>
      <c r="BR80" s="112"/>
      <c r="BS80" s="112"/>
      <c r="BT80" s="112"/>
      <c r="BU80" s="112"/>
      <c r="BV80" s="112"/>
      <c r="BW80" s="112"/>
      <c r="BX80" s="112"/>
      <c r="BY80" s="112"/>
      <c r="BZ80" s="112"/>
      <c r="CA80" s="112"/>
      <c r="CB80" s="112"/>
      <c r="CC80" s="112"/>
      <c r="CD80" s="112"/>
      <c r="CE80" s="112"/>
      <c r="CF80" s="112"/>
      <c r="CG80" s="112"/>
      <c r="CH80" s="112"/>
      <c r="CI80" s="112"/>
      <c r="CJ80" s="112"/>
      <c r="CK80" s="112"/>
      <c r="CL80" s="112"/>
      <c r="CM80" s="112"/>
      <c r="CN80" s="112"/>
      <c r="CO80" s="112"/>
      <c r="CP80" s="112"/>
      <c r="CQ80" s="112"/>
      <c r="CR80" s="112"/>
      <c r="CS80" s="112"/>
      <c r="CT80" s="112"/>
      <c r="CU80" s="112"/>
      <c r="CV80" s="112"/>
      <c r="CW80" s="112"/>
      <c r="CX80" s="112"/>
      <c r="CY80" s="112"/>
      <c r="CZ80" s="112"/>
      <c r="DA80" s="112"/>
      <c r="DB80" s="112"/>
      <c r="DC80" s="112"/>
      <c r="DD80" s="112"/>
      <c r="DE80" s="112"/>
      <c r="DF80" s="112"/>
      <c r="DG80" s="112"/>
      <c r="DH80" s="112"/>
      <c r="DI80" s="112"/>
      <c r="DJ80" s="112"/>
      <c r="DK80" s="112"/>
      <c r="DL80" s="112"/>
      <c r="DM80" s="112"/>
      <c r="DN80" s="112"/>
      <c r="DO80" s="112"/>
      <c r="DP80" s="112"/>
      <c r="DQ80" s="112"/>
      <c r="DR80" s="112"/>
      <c r="DS80" s="112"/>
      <c r="DT80" s="112"/>
      <c r="DU80" s="112"/>
      <c r="DV80" s="112"/>
      <c r="DW80" s="112"/>
      <c r="DX80" s="112"/>
      <c r="DY80" s="112"/>
      <c r="DZ80" s="112"/>
      <c r="EA80" s="112"/>
      <c r="EB80" s="112"/>
      <c r="EC80" s="112"/>
      <c r="ED80" s="112"/>
      <c r="EE80" s="112"/>
      <c r="EF80" s="112"/>
      <c r="EG80" s="112"/>
      <c r="EH80" s="112"/>
      <c r="EI80" s="112"/>
      <c r="EJ80" s="112"/>
      <c r="EK80" s="112"/>
      <c r="EL80" s="112"/>
      <c r="EM80" s="112"/>
      <c r="EN80" s="112"/>
      <c r="EO80" s="112"/>
      <c r="EP80" s="112"/>
      <c r="EQ80" s="112"/>
      <c r="ER80" s="112"/>
      <c r="ES80" s="112"/>
      <c r="ET80" s="112"/>
      <c r="EU80" s="112"/>
      <c r="EV80" s="112"/>
      <c r="EW80" s="112"/>
      <c r="EX80" s="112"/>
      <c r="EY80" s="112"/>
      <c r="EZ80" s="112"/>
      <c r="FA80" s="112"/>
      <c r="FB80" s="112"/>
      <c r="FC80" s="112"/>
      <c r="FD80" s="112"/>
      <c r="FE80" s="112"/>
      <c r="FF80" s="112"/>
      <c r="FG80" s="112"/>
      <c r="FH80" s="112"/>
      <c r="FI80" s="112"/>
      <c r="FJ80" s="112"/>
      <c r="FK80" s="112"/>
      <c r="FL80" s="112"/>
      <c r="FM80" s="112"/>
      <c r="FN80" s="112"/>
      <c r="FO80" s="112"/>
      <c r="FP80" s="112"/>
      <c r="FQ80" s="112"/>
      <c r="FR80" s="112"/>
      <c r="FS80" s="112"/>
      <c r="FT80" s="112"/>
      <c r="FU80" s="112"/>
      <c r="FV80" s="112"/>
      <c r="FW80" s="112"/>
      <c r="FX80" s="112"/>
      <c r="FY80" s="112"/>
      <c r="FZ80" s="112"/>
      <c r="GA80" s="112"/>
      <c r="GB80" s="112"/>
      <c r="GC80" s="112"/>
      <c r="GD80" s="112"/>
      <c r="GE80" s="112"/>
      <c r="GF80" s="112"/>
      <c r="GG80" s="112"/>
      <c r="GH80" s="112"/>
      <c r="GI80" s="112"/>
      <c r="GJ80" s="112"/>
      <c r="GK80" s="112"/>
      <c r="GL80" s="112"/>
      <c r="GM80" s="112"/>
      <c r="GN80" s="112"/>
      <c r="GO80" s="112"/>
      <c r="GP80" s="112"/>
      <c r="GQ80" s="112"/>
      <c r="GR80" s="112"/>
      <c r="GS80" s="112"/>
      <c r="GT80" s="112"/>
      <c r="GU80" s="112"/>
      <c r="GV80" s="112"/>
      <c r="GW80" s="112"/>
      <c r="GX80" s="112"/>
      <c r="GY80" s="112"/>
      <c r="GZ80" s="112"/>
      <c r="HA80" s="112"/>
      <c r="HB80" s="112"/>
      <c r="HC80" s="112"/>
      <c r="HD80" s="112"/>
      <c r="HE80" s="112"/>
      <c r="HF80" s="112"/>
      <c r="HG80" s="112"/>
      <c r="HH80" s="112"/>
      <c r="HI80" s="112"/>
      <c r="HJ80" s="112"/>
      <c r="HK80" s="112"/>
      <c r="HL80" s="112"/>
      <c r="HM80" s="112"/>
      <c r="HN80" s="112"/>
      <c r="HO80" s="112"/>
      <c r="HP80" s="112"/>
      <c r="HQ80" s="112"/>
      <c r="HR80" s="112"/>
      <c r="HS80" s="112"/>
      <c r="HT80" s="112"/>
      <c r="HU80" s="112"/>
      <c r="HV80" s="112"/>
      <c r="HW80" s="112"/>
      <c r="HX80" s="112"/>
      <c r="HY80" s="112"/>
      <c r="HZ80" s="112"/>
      <c r="IA80" s="112"/>
      <c r="IB80" s="112"/>
      <c r="IC80" s="112"/>
      <c r="ID80" s="112"/>
      <c r="IE80" s="112"/>
      <c r="IF80" s="112"/>
      <c r="IG80" s="112"/>
      <c r="IH80" s="112"/>
      <c r="II80" s="112"/>
      <c r="IJ80" s="112"/>
      <c r="IK80" s="112"/>
      <c r="IL80" s="112"/>
      <c r="IM80" s="112"/>
      <c r="IN80" s="112"/>
      <c r="IO80" s="112"/>
      <c r="IP80" s="112"/>
      <c r="IQ80" s="112"/>
      <c r="IR80" s="112"/>
      <c r="IS80" s="112"/>
      <c r="IT80" s="112"/>
    </row>
    <row r="81" spans="1:254" s="113" customFormat="1" x14ac:dyDescent="0.2">
      <c r="A81" s="60"/>
      <c r="B81" s="110"/>
      <c r="C81" s="111"/>
      <c r="D81" s="63"/>
      <c r="E81" s="112"/>
      <c r="F81" s="112"/>
      <c r="G81" s="112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112"/>
      <c r="AS81" s="112"/>
      <c r="AT81" s="112"/>
      <c r="AU81" s="112"/>
      <c r="AV81" s="112"/>
      <c r="AW81" s="112"/>
      <c r="AX81" s="112"/>
      <c r="AY81" s="112"/>
      <c r="AZ81" s="112"/>
      <c r="BA81" s="112"/>
      <c r="BB81" s="112"/>
      <c r="BC81" s="112"/>
      <c r="BD81" s="112"/>
      <c r="BE81" s="112"/>
      <c r="BF81" s="112"/>
      <c r="BG81" s="112"/>
      <c r="BH81" s="112"/>
      <c r="BI81" s="112"/>
      <c r="BJ81" s="112"/>
      <c r="BK81" s="112"/>
      <c r="BL81" s="112"/>
      <c r="BM81" s="112"/>
      <c r="BN81" s="112"/>
      <c r="BO81" s="112"/>
      <c r="BP81" s="112"/>
      <c r="BQ81" s="112"/>
      <c r="BR81" s="112"/>
      <c r="BS81" s="112"/>
      <c r="BT81" s="112"/>
      <c r="BU81" s="112"/>
      <c r="BV81" s="112"/>
      <c r="BW81" s="112"/>
      <c r="BX81" s="112"/>
      <c r="BY81" s="112"/>
      <c r="BZ81" s="112"/>
      <c r="CA81" s="112"/>
      <c r="CB81" s="112"/>
      <c r="CC81" s="112"/>
      <c r="CD81" s="112"/>
      <c r="CE81" s="112"/>
      <c r="CF81" s="112"/>
      <c r="CG81" s="112"/>
      <c r="CH81" s="112"/>
      <c r="CI81" s="112"/>
      <c r="CJ81" s="112"/>
      <c r="CK81" s="112"/>
      <c r="CL81" s="112"/>
      <c r="CM81" s="112"/>
      <c r="CN81" s="112"/>
      <c r="CO81" s="112"/>
      <c r="CP81" s="112"/>
      <c r="CQ81" s="112"/>
      <c r="CR81" s="112"/>
      <c r="CS81" s="112"/>
      <c r="CT81" s="112"/>
      <c r="CU81" s="112"/>
      <c r="CV81" s="112"/>
      <c r="CW81" s="112"/>
      <c r="CX81" s="112"/>
      <c r="CY81" s="112"/>
      <c r="CZ81" s="112"/>
      <c r="DA81" s="112"/>
      <c r="DB81" s="112"/>
      <c r="DC81" s="112"/>
      <c r="DD81" s="112"/>
      <c r="DE81" s="112"/>
      <c r="DF81" s="112"/>
      <c r="DG81" s="112"/>
      <c r="DH81" s="112"/>
      <c r="DI81" s="112"/>
      <c r="DJ81" s="112"/>
      <c r="DK81" s="112"/>
      <c r="DL81" s="112"/>
      <c r="DM81" s="112"/>
      <c r="DN81" s="112"/>
      <c r="DO81" s="112"/>
      <c r="DP81" s="112"/>
      <c r="DQ81" s="112"/>
      <c r="DR81" s="112"/>
      <c r="DS81" s="112"/>
      <c r="DT81" s="112"/>
      <c r="DU81" s="112"/>
      <c r="DV81" s="112"/>
      <c r="DW81" s="112"/>
      <c r="DX81" s="112"/>
      <c r="DY81" s="112"/>
      <c r="DZ81" s="112"/>
      <c r="EA81" s="112"/>
      <c r="EB81" s="112"/>
      <c r="EC81" s="112"/>
      <c r="ED81" s="112"/>
      <c r="EE81" s="112"/>
      <c r="EF81" s="112"/>
      <c r="EG81" s="112"/>
      <c r="EH81" s="112"/>
      <c r="EI81" s="112"/>
      <c r="EJ81" s="112"/>
      <c r="EK81" s="112"/>
      <c r="EL81" s="112"/>
      <c r="EM81" s="112"/>
      <c r="EN81" s="112"/>
      <c r="EO81" s="112"/>
      <c r="EP81" s="112"/>
      <c r="EQ81" s="112"/>
      <c r="ER81" s="112"/>
      <c r="ES81" s="112"/>
      <c r="ET81" s="112"/>
      <c r="EU81" s="112"/>
      <c r="EV81" s="112"/>
      <c r="EW81" s="112"/>
      <c r="EX81" s="112"/>
      <c r="EY81" s="112"/>
      <c r="EZ81" s="112"/>
      <c r="FA81" s="112"/>
      <c r="FB81" s="112"/>
      <c r="FC81" s="112"/>
      <c r="FD81" s="112"/>
      <c r="FE81" s="112"/>
      <c r="FF81" s="112"/>
      <c r="FG81" s="112"/>
      <c r="FH81" s="112"/>
      <c r="FI81" s="112"/>
      <c r="FJ81" s="112"/>
      <c r="FK81" s="112"/>
      <c r="FL81" s="112"/>
      <c r="FM81" s="112"/>
      <c r="FN81" s="112"/>
      <c r="FO81" s="112"/>
      <c r="FP81" s="112"/>
      <c r="FQ81" s="112"/>
      <c r="FR81" s="112"/>
      <c r="FS81" s="112"/>
      <c r="FT81" s="112"/>
      <c r="FU81" s="112"/>
      <c r="FV81" s="112"/>
      <c r="FW81" s="112"/>
      <c r="FX81" s="112"/>
      <c r="FY81" s="112"/>
      <c r="FZ81" s="112"/>
      <c r="GA81" s="112"/>
      <c r="GB81" s="112"/>
      <c r="GC81" s="112"/>
      <c r="GD81" s="112"/>
      <c r="GE81" s="112"/>
      <c r="GF81" s="112"/>
      <c r="GG81" s="112"/>
      <c r="GH81" s="112"/>
      <c r="GI81" s="112"/>
      <c r="GJ81" s="112"/>
      <c r="GK81" s="112"/>
      <c r="GL81" s="112"/>
      <c r="GM81" s="112"/>
      <c r="GN81" s="112"/>
      <c r="GO81" s="112"/>
      <c r="GP81" s="112"/>
      <c r="GQ81" s="112"/>
      <c r="GR81" s="112"/>
      <c r="GS81" s="112"/>
      <c r="GT81" s="112"/>
      <c r="GU81" s="112"/>
      <c r="GV81" s="112"/>
      <c r="GW81" s="112"/>
      <c r="GX81" s="112"/>
      <c r="GY81" s="112"/>
      <c r="GZ81" s="112"/>
      <c r="HA81" s="112"/>
      <c r="HB81" s="112"/>
      <c r="HC81" s="112"/>
      <c r="HD81" s="112"/>
      <c r="HE81" s="112"/>
      <c r="HF81" s="112"/>
      <c r="HG81" s="112"/>
      <c r="HH81" s="112"/>
      <c r="HI81" s="112"/>
      <c r="HJ81" s="112"/>
      <c r="HK81" s="112"/>
      <c r="HL81" s="112"/>
      <c r="HM81" s="112"/>
      <c r="HN81" s="112"/>
      <c r="HO81" s="112"/>
      <c r="HP81" s="112"/>
      <c r="HQ81" s="112"/>
      <c r="HR81" s="112"/>
      <c r="HS81" s="112"/>
      <c r="HT81" s="112"/>
      <c r="HU81" s="112"/>
      <c r="HV81" s="112"/>
      <c r="HW81" s="112"/>
      <c r="HX81" s="112"/>
      <c r="HY81" s="112"/>
      <c r="HZ81" s="112"/>
      <c r="IA81" s="112"/>
      <c r="IB81" s="112"/>
      <c r="IC81" s="112"/>
      <c r="ID81" s="112"/>
      <c r="IE81" s="112"/>
      <c r="IF81" s="112"/>
      <c r="IG81" s="112"/>
      <c r="IH81" s="112"/>
      <c r="II81" s="112"/>
      <c r="IJ81" s="112"/>
      <c r="IK81" s="112"/>
      <c r="IL81" s="112"/>
      <c r="IM81" s="112"/>
      <c r="IN81" s="112"/>
      <c r="IO81" s="112"/>
      <c r="IP81" s="112"/>
      <c r="IQ81" s="112"/>
      <c r="IR81" s="112"/>
      <c r="IS81" s="112"/>
      <c r="IT81" s="112"/>
    </row>
    <row r="82" spans="1:254" s="113" customFormat="1" x14ac:dyDescent="0.2">
      <c r="A82" s="60"/>
      <c r="B82" s="110"/>
      <c r="C82" s="111"/>
      <c r="D82" s="63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R82" s="112"/>
      <c r="AS82" s="112"/>
      <c r="AT82" s="112"/>
      <c r="AU82" s="112"/>
      <c r="AV82" s="112"/>
      <c r="AW82" s="112"/>
      <c r="AX82" s="112"/>
      <c r="AY82" s="112"/>
      <c r="AZ82" s="112"/>
      <c r="BA82" s="112"/>
      <c r="BB82" s="112"/>
      <c r="BC82" s="112"/>
      <c r="BD82" s="112"/>
      <c r="BE82" s="112"/>
      <c r="BF82" s="112"/>
      <c r="BG82" s="112"/>
      <c r="BH82" s="112"/>
      <c r="BI82" s="112"/>
      <c r="BJ82" s="112"/>
      <c r="BK82" s="112"/>
      <c r="BL82" s="112"/>
      <c r="BM82" s="112"/>
      <c r="BN82" s="112"/>
      <c r="BO82" s="112"/>
      <c r="BP82" s="112"/>
      <c r="BQ82" s="112"/>
      <c r="BR82" s="112"/>
      <c r="BS82" s="112"/>
      <c r="BT82" s="112"/>
      <c r="BU82" s="112"/>
      <c r="BV82" s="112"/>
      <c r="BW82" s="112"/>
      <c r="BX82" s="112"/>
      <c r="BY82" s="112"/>
      <c r="BZ82" s="112"/>
      <c r="CA82" s="112"/>
      <c r="CB82" s="112"/>
      <c r="CC82" s="112"/>
      <c r="CD82" s="112"/>
      <c r="CE82" s="112"/>
      <c r="CF82" s="112"/>
      <c r="CG82" s="112"/>
      <c r="CH82" s="112"/>
      <c r="CI82" s="112"/>
      <c r="CJ82" s="112"/>
      <c r="CK82" s="112"/>
      <c r="CL82" s="112"/>
      <c r="CM82" s="112"/>
      <c r="CN82" s="112"/>
      <c r="CO82" s="112"/>
      <c r="CP82" s="112"/>
      <c r="CQ82" s="112"/>
      <c r="CR82" s="112"/>
      <c r="CS82" s="112"/>
      <c r="CT82" s="112"/>
      <c r="CU82" s="112"/>
      <c r="CV82" s="112"/>
      <c r="CW82" s="112"/>
      <c r="CX82" s="112"/>
      <c r="CY82" s="112"/>
      <c r="CZ82" s="112"/>
      <c r="DA82" s="112"/>
      <c r="DB82" s="112"/>
      <c r="DC82" s="112"/>
      <c r="DD82" s="112"/>
      <c r="DE82" s="112"/>
      <c r="DF82" s="112"/>
      <c r="DG82" s="112"/>
      <c r="DH82" s="112"/>
      <c r="DI82" s="112"/>
      <c r="DJ82" s="112"/>
      <c r="DK82" s="112"/>
      <c r="DL82" s="112"/>
      <c r="DM82" s="112"/>
      <c r="DN82" s="112"/>
      <c r="DO82" s="112"/>
      <c r="DP82" s="112"/>
      <c r="DQ82" s="112"/>
      <c r="DR82" s="112"/>
      <c r="DS82" s="112"/>
      <c r="DT82" s="112"/>
      <c r="DU82" s="112"/>
      <c r="DV82" s="112"/>
      <c r="DW82" s="112"/>
      <c r="DX82" s="112"/>
      <c r="DY82" s="112"/>
      <c r="DZ82" s="112"/>
      <c r="EA82" s="112"/>
      <c r="EB82" s="112"/>
      <c r="EC82" s="112"/>
      <c r="ED82" s="112"/>
      <c r="EE82" s="112"/>
      <c r="EF82" s="112"/>
      <c r="EG82" s="112"/>
      <c r="EH82" s="112"/>
      <c r="EI82" s="112"/>
      <c r="EJ82" s="112"/>
      <c r="EK82" s="112"/>
      <c r="EL82" s="112"/>
      <c r="EM82" s="112"/>
      <c r="EN82" s="112"/>
      <c r="EO82" s="112"/>
      <c r="EP82" s="112"/>
      <c r="EQ82" s="112"/>
      <c r="ER82" s="112"/>
      <c r="ES82" s="112"/>
      <c r="ET82" s="112"/>
      <c r="EU82" s="112"/>
      <c r="EV82" s="112"/>
      <c r="EW82" s="112"/>
      <c r="EX82" s="112"/>
      <c r="EY82" s="112"/>
      <c r="EZ82" s="112"/>
      <c r="FA82" s="112"/>
      <c r="FB82" s="112"/>
      <c r="FC82" s="112"/>
      <c r="FD82" s="112"/>
      <c r="FE82" s="112"/>
      <c r="FF82" s="112"/>
      <c r="FG82" s="112"/>
      <c r="FH82" s="112"/>
      <c r="FI82" s="112"/>
      <c r="FJ82" s="112"/>
      <c r="FK82" s="112"/>
      <c r="FL82" s="112"/>
      <c r="FM82" s="112"/>
      <c r="FN82" s="112"/>
      <c r="FO82" s="112"/>
      <c r="FP82" s="112"/>
      <c r="FQ82" s="112"/>
      <c r="FR82" s="112"/>
      <c r="FS82" s="112"/>
      <c r="FT82" s="112"/>
      <c r="FU82" s="112"/>
      <c r="FV82" s="112"/>
      <c r="FW82" s="112"/>
      <c r="FX82" s="112"/>
      <c r="FY82" s="112"/>
      <c r="FZ82" s="112"/>
      <c r="GA82" s="112"/>
      <c r="GB82" s="112"/>
      <c r="GC82" s="112"/>
      <c r="GD82" s="112"/>
      <c r="GE82" s="112"/>
      <c r="GF82" s="112"/>
      <c r="GG82" s="112"/>
      <c r="GH82" s="112"/>
      <c r="GI82" s="112"/>
      <c r="GJ82" s="112"/>
      <c r="GK82" s="112"/>
      <c r="GL82" s="112"/>
      <c r="GM82" s="112"/>
      <c r="GN82" s="112"/>
      <c r="GO82" s="112"/>
      <c r="GP82" s="112"/>
      <c r="GQ82" s="112"/>
      <c r="GR82" s="112"/>
      <c r="GS82" s="112"/>
      <c r="GT82" s="112"/>
      <c r="GU82" s="112"/>
      <c r="GV82" s="112"/>
      <c r="GW82" s="112"/>
      <c r="GX82" s="112"/>
      <c r="GY82" s="112"/>
      <c r="GZ82" s="112"/>
      <c r="HA82" s="112"/>
      <c r="HB82" s="112"/>
      <c r="HC82" s="112"/>
      <c r="HD82" s="112"/>
      <c r="HE82" s="112"/>
      <c r="HF82" s="112"/>
      <c r="HG82" s="112"/>
      <c r="HH82" s="112"/>
      <c r="HI82" s="112"/>
      <c r="HJ82" s="112"/>
      <c r="HK82" s="112"/>
      <c r="HL82" s="112"/>
      <c r="HM82" s="112"/>
      <c r="HN82" s="112"/>
      <c r="HO82" s="112"/>
      <c r="HP82" s="112"/>
      <c r="HQ82" s="112"/>
      <c r="HR82" s="112"/>
      <c r="HS82" s="112"/>
      <c r="HT82" s="112"/>
      <c r="HU82" s="112"/>
      <c r="HV82" s="112"/>
      <c r="HW82" s="112"/>
      <c r="HX82" s="112"/>
      <c r="HY82" s="112"/>
      <c r="HZ82" s="112"/>
      <c r="IA82" s="112"/>
      <c r="IB82" s="112"/>
      <c r="IC82" s="112"/>
      <c r="ID82" s="112"/>
      <c r="IE82" s="112"/>
      <c r="IF82" s="112"/>
      <c r="IG82" s="112"/>
      <c r="IH82" s="112"/>
      <c r="II82" s="112"/>
      <c r="IJ82" s="112"/>
      <c r="IK82" s="112"/>
      <c r="IL82" s="112"/>
      <c r="IM82" s="112"/>
      <c r="IN82" s="112"/>
      <c r="IO82" s="112"/>
      <c r="IP82" s="112"/>
      <c r="IQ82" s="112"/>
      <c r="IR82" s="112"/>
      <c r="IS82" s="112"/>
      <c r="IT82" s="112"/>
    </row>
    <row r="83" spans="1:254" s="113" customFormat="1" x14ac:dyDescent="0.2">
      <c r="A83" s="60"/>
      <c r="B83" s="110"/>
      <c r="C83" s="111"/>
      <c r="D83" s="63"/>
      <c r="E83" s="112"/>
      <c r="F83" s="112"/>
      <c r="G83" s="112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R83" s="112"/>
      <c r="AS83" s="112"/>
      <c r="AT83" s="112"/>
      <c r="AU83" s="112"/>
      <c r="AV83" s="112"/>
      <c r="AW83" s="112"/>
      <c r="AX83" s="112"/>
      <c r="AY83" s="112"/>
      <c r="AZ83" s="112"/>
      <c r="BA83" s="112"/>
      <c r="BB83" s="112"/>
      <c r="BC83" s="112"/>
      <c r="BD83" s="112"/>
      <c r="BE83" s="112"/>
      <c r="BF83" s="112"/>
      <c r="BG83" s="112"/>
      <c r="BH83" s="112"/>
      <c r="BI83" s="112"/>
      <c r="BJ83" s="112"/>
      <c r="BK83" s="112"/>
      <c r="BL83" s="112"/>
      <c r="BM83" s="112"/>
      <c r="BN83" s="112"/>
      <c r="BO83" s="112"/>
      <c r="BP83" s="112"/>
      <c r="BQ83" s="112"/>
      <c r="BR83" s="112"/>
      <c r="BS83" s="112"/>
      <c r="BT83" s="112"/>
      <c r="BU83" s="112"/>
      <c r="BV83" s="112"/>
      <c r="BW83" s="112"/>
      <c r="BX83" s="112"/>
      <c r="BY83" s="112"/>
      <c r="BZ83" s="112"/>
      <c r="CA83" s="112"/>
      <c r="CB83" s="112"/>
      <c r="CC83" s="112"/>
      <c r="CD83" s="112"/>
      <c r="CE83" s="112"/>
      <c r="CF83" s="112"/>
      <c r="CG83" s="112"/>
      <c r="CH83" s="112"/>
      <c r="CI83" s="112"/>
      <c r="CJ83" s="112"/>
      <c r="CK83" s="112"/>
      <c r="CL83" s="112"/>
      <c r="CM83" s="112"/>
      <c r="CN83" s="112"/>
      <c r="CO83" s="112"/>
      <c r="CP83" s="112"/>
      <c r="CQ83" s="112"/>
      <c r="CR83" s="112"/>
      <c r="CS83" s="112"/>
      <c r="CT83" s="112"/>
      <c r="CU83" s="112"/>
      <c r="CV83" s="112"/>
      <c r="CW83" s="112"/>
      <c r="CX83" s="112"/>
      <c r="CY83" s="112"/>
      <c r="CZ83" s="112"/>
      <c r="DA83" s="112"/>
      <c r="DB83" s="112"/>
      <c r="DC83" s="112"/>
      <c r="DD83" s="112"/>
      <c r="DE83" s="112"/>
      <c r="DF83" s="112"/>
      <c r="DG83" s="112"/>
      <c r="DH83" s="112"/>
      <c r="DI83" s="112"/>
      <c r="DJ83" s="112"/>
      <c r="DK83" s="112"/>
      <c r="DL83" s="112"/>
      <c r="DM83" s="112"/>
      <c r="DN83" s="112"/>
      <c r="DO83" s="112"/>
      <c r="DP83" s="112"/>
      <c r="DQ83" s="112"/>
      <c r="DR83" s="112"/>
      <c r="DS83" s="112"/>
      <c r="DT83" s="112"/>
      <c r="DU83" s="112"/>
      <c r="DV83" s="112"/>
      <c r="DW83" s="112"/>
      <c r="DX83" s="112"/>
      <c r="DY83" s="112"/>
      <c r="DZ83" s="112"/>
      <c r="EA83" s="112"/>
      <c r="EB83" s="112"/>
      <c r="EC83" s="112"/>
      <c r="ED83" s="112"/>
      <c r="EE83" s="112"/>
      <c r="EF83" s="112"/>
      <c r="EG83" s="112"/>
      <c r="EH83" s="112"/>
      <c r="EI83" s="112"/>
      <c r="EJ83" s="112"/>
      <c r="EK83" s="112"/>
      <c r="EL83" s="112"/>
      <c r="EM83" s="112"/>
      <c r="EN83" s="112"/>
      <c r="EO83" s="112"/>
      <c r="EP83" s="112"/>
      <c r="EQ83" s="112"/>
      <c r="ER83" s="112"/>
      <c r="ES83" s="112"/>
      <c r="ET83" s="112"/>
      <c r="EU83" s="112"/>
      <c r="EV83" s="112"/>
      <c r="EW83" s="112"/>
      <c r="EX83" s="112"/>
      <c r="EY83" s="112"/>
      <c r="EZ83" s="112"/>
      <c r="FA83" s="112"/>
      <c r="FB83" s="112"/>
      <c r="FC83" s="112"/>
      <c r="FD83" s="112"/>
      <c r="FE83" s="112"/>
      <c r="FF83" s="112"/>
      <c r="FG83" s="112"/>
      <c r="FH83" s="112"/>
      <c r="FI83" s="112"/>
      <c r="FJ83" s="112"/>
      <c r="FK83" s="112"/>
      <c r="FL83" s="112"/>
      <c r="FM83" s="112"/>
      <c r="FN83" s="112"/>
      <c r="FO83" s="112"/>
      <c r="FP83" s="112"/>
      <c r="FQ83" s="112"/>
      <c r="FR83" s="112"/>
      <c r="FS83" s="112"/>
      <c r="FT83" s="112"/>
      <c r="FU83" s="112"/>
      <c r="FV83" s="112"/>
      <c r="FW83" s="112"/>
      <c r="FX83" s="112"/>
      <c r="FY83" s="112"/>
      <c r="FZ83" s="112"/>
      <c r="GA83" s="112"/>
      <c r="GB83" s="112"/>
      <c r="GC83" s="112"/>
      <c r="GD83" s="112"/>
      <c r="GE83" s="112"/>
      <c r="GF83" s="112"/>
      <c r="GG83" s="112"/>
      <c r="GH83" s="112"/>
      <c r="GI83" s="112"/>
      <c r="GJ83" s="112"/>
      <c r="GK83" s="112"/>
      <c r="GL83" s="112"/>
      <c r="GM83" s="112"/>
      <c r="GN83" s="112"/>
      <c r="GO83" s="112"/>
      <c r="GP83" s="112"/>
      <c r="GQ83" s="112"/>
      <c r="GR83" s="112"/>
      <c r="GS83" s="112"/>
      <c r="GT83" s="112"/>
      <c r="GU83" s="112"/>
      <c r="GV83" s="112"/>
      <c r="GW83" s="112"/>
      <c r="GX83" s="112"/>
      <c r="GY83" s="112"/>
      <c r="GZ83" s="112"/>
      <c r="HA83" s="112"/>
      <c r="HB83" s="112"/>
      <c r="HC83" s="112"/>
      <c r="HD83" s="112"/>
      <c r="HE83" s="112"/>
      <c r="HF83" s="112"/>
      <c r="HG83" s="112"/>
      <c r="HH83" s="112"/>
      <c r="HI83" s="112"/>
      <c r="HJ83" s="112"/>
      <c r="HK83" s="112"/>
      <c r="HL83" s="112"/>
      <c r="HM83" s="112"/>
      <c r="HN83" s="112"/>
      <c r="HO83" s="112"/>
      <c r="HP83" s="112"/>
      <c r="HQ83" s="112"/>
      <c r="HR83" s="112"/>
      <c r="HS83" s="112"/>
      <c r="HT83" s="112"/>
      <c r="HU83" s="112"/>
      <c r="HV83" s="112"/>
      <c r="HW83" s="112"/>
      <c r="HX83" s="112"/>
      <c r="HY83" s="112"/>
      <c r="HZ83" s="112"/>
      <c r="IA83" s="112"/>
      <c r="IB83" s="112"/>
      <c r="IC83" s="112"/>
      <c r="ID83" s="112"/>
      <c r="IE83" s="112"/>
      <c r="IF83" s="112"/>
      <c r="IG83" s="112"/>
      <c r="IH83" s="112"/>
      <c r="II83" s="112"/>
      <c r="IJ83" s="112"/>
      <c r="IK83" s="112"/>
      <c r="IL83" s="112"/>
      <c r="IM83" s="112"/>
      <c r="IN83" s="112"/>
      <c r="IO83" s="112"/>
      <c r="IP83" s="112"/>
      <c r="IQ83" s="112"/>
      <c r="IR83" s="112"/>
      <c r="IS83" s="112"/>
      <c r="IT83" s="112"/>
    </row>
    <row r="84" spans="1:254" s="113" customFormat="1" x14ac:dyDescent="0.2">
      <c r="A84" s="60"/>
      <c r="B84" s="110"/>
      <c r="C84" s="111"/>
      <c r="D84" s="63"/>
      <c r="E84" s="112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112"/>
      <c r="AS84" s="112"/>
      <c r="AT84" s="112"/>
      <c r="AU84" s="112"/>
      <c r="AV84" s="112"/>
      <c r="AW84" s="112"/>
      <c r="AX84" s="112"/>
      <c r="AY84" s="112"/>
      <c r="AZ84" s="112"/>
      <c r="BA84" s="112"/>
      <c r="BB84" s="112"/>
      <c r="BC84" s="112"/>
      <c r="BD84" s="112"/>
      <c r="BE84" s="112"/>
      <c r="BF84" s="112"/>
      <c r="BG84" s="112"/>
      <c r="BH84" s="112"/>
      <c r="BI84" s="112"/>
      <c r="BJ84" s="112"/>
      <c r="BK84" s="112"/>
      <c r="BL84" s="112"/>
      <c r="BM84" s="112"/>
      <c r="BN84" s="112"/>
      <c r="BO84" s="112"/>
      <c r="BP84" s="112"/>
      <c r="BQ84" s="112"/>
      <c r="BR84" s="112"/>
      <c r="BS84" s="112"/>
      <c r="BT84" s="112"/>
      <c r="BU84" s="112"/>
      <c r="BV84" s="112"/>
      <c r="BW84" s="112"/>
      <c r="BX84" s="112"/>
      <c r="BY84" s="112"/>
      <c r="BZ84" s="112"/>
      <c r="CA84" s="112"/>
      <c r="CB84" s="112"/>
      <c r="CC84" s="112"/>
      <c r="CD84" s="112"/>
      <c r="CE84" s="112"/>
      <c r="CF84" s="112"/>
      <c r="CG84" s="112"/>
      <c r="CH84" s="112"/>
      <c r="CI84" s="112"/>
      <c r="CJ84" s="112"/>
      <c r="CK84" s="112"/>
      <c r="CL84" s="112"/>
      <c r="CM84" s="112"/>
      <c r="CN84" s="112"/>
      <c r="CO84" s="112"/>
      <c r="CP84" s="112"/>
      <c r="CQ84" s="112"/>
      <c r="CR84" s="112"/>
      <c r="CS84" s="112"/>
      <c r="CT84" s="112"/>
      <c r="CU84" s="112"/>
      <c r="CV84" s="112"/>
      <c r="CW84" s="112"/>
      <c r="CX84" s="112"/>
      <c r="CY84" s="112"/>
      <c r="CZ84" s="112"/>
      <c r="DA84" s="112"/>
      <c r="DB84" s="112"/>
      <c r="DC84" s="112"/>
      <c r="DD84" s="112"/>
      <c r="DE84" s="112"/>
      <c r="DF84" s="112"/>
      <c r="DG84" s="112"/>
      <c r="DH84" s="112"/>
      <c r="DI84" s="112"/>
      <c r="DJ84" s="112"/>
      <c r="DK84" s="112"/>
      <c r="DL84" s="112"/>
      <c r="DM84" s="112"/>
      <c r="DN84" s="112"/>
      <c r="DO84" s="112"/>
      <c r="DP84" s="112"/>
      <c r="DQ84" s="112"/>
      <c r="DR84" s="112"/>
      <c r="DS84" s="112"/>
      <c r="DT84" s="112"/>
      <c r="DU84" s="112"/>
      <c r="DV84" s="112"/>
      <c r="DW84" s="112"/>
      <c r="DX84" s="112"/>
      <c r="DY84" s="112"/>
      <c r="DZ84" s="112"/>
      <c r="EA84" s="112"/>
      <c r="EB84" s="112"/>
      <c r="EC84" s="112"/>
      <c r="ED84" s="112"/>
      <c r="EE84" s="112"/>
      <c r="EF84" s="112"/>
      <c r="EG84" s="112"/>
      <c r="EH84" s="112"/>
      <c r="EI84" s="112"/>
      <c r="EJ84" s="112"/>
      <c r="EK84" s="112"/>
      <c r="EL84" s="112"/>
      <c r="EM84" s="112"/>
      <c r="EN84" s="112"/>
      <c r="EO84" s="112"/>
      <c r="EP84" s="112"/>
      <c r="EQ84" s="112"/>
      <c r="ER84" s="112"/>
      <c r="ES84" s="112"/>
      <c r="ET84" s="112"/>
      <c r="EU84" s="112"/>
      <c r="EV84" s="112"/>
      <c r="EW84" s="112"/>
      <c r="EX84" s="112"/>
      <c r="EY84" s="112"/>
      <c r="EZ84" s="112"/>
      <c r="FA84" s="112"/>
      <c r="FB84" s="112"/>
      <c r="FC84" s="112"/>
      <c r="FD84" s="112"/>
      <c r="FE84" s="112"/>
      <c r="FF84" s="112"/>
      <c r="FG84" s="112"/>
      <c r="FH84" s="112"/>
      <c r="FI84" s="112"/>
      <c r="FJ84" s="112"/>
      <c r="FK84" s="112"/>
      <c r="FL84" s="112"/>
      <c r="FM84" s="112"/>
      <c r="FN84" s="112"/>
      <c r="FO84" s="112"/>
      <c r="FP84" s="112"/>
      <c r="FQ84" s="112"/>
      <c r="FR84" s="112"/>
      <c r="FS84" s="112"/>
      <c r="FT84" s="112"/>
      <c r="FU84" s="112"/>
      <c r="FV84" s="112"/>
      <c r="FW84" s="112"/>
      <c r="FX84" s="112"/>
      <c r="FY84" s="112"/>
      <c r="FZ84" s="112"/>
      <c r="GA84" s="112"/>
      <c r="GB84" s="112"/>
      <c r="GC84" s="112"/>
      <c r="GD84" s="112"/>
      <c r="GE84" s="112"/>
      <c r="GF84" s="112"/>
      <c r="GG84" s="112"/>
      <c r="GH84" s="112"/>
      <c r="GI84" s="112"/>
      <c r="GJ84" s="112"/>
      <c r="GK84" s="112"/>
      <c r="GL84" s="112"/>
      <c r="GM84" s="112"/>
      <c r="GN84" s="112"/>
      <c r="GO84" s="112"/>
      <c r="GP84" s="112"/>
      <c r="GQ84" s="112"/>
      <c r="GR84" s="112"/>
      <c r="GS84" s="112"/>
      <c r="GT84" s="112"/>
      <c r="GU84" s="112"/>
      <c r="GV84" s="112"/>
      <c r="GW84" s="112"/>
      <c r="GX84" s="112"/>
      <c r="GY84" s="112"/>
      <c r="GZ84" s="112"/>
      <c r="HA84" s="112"/>
      <c r="HB84" s="112"/>
      <c r="HC84" s="112"/>
      <c r="HD84" s="112"/>
      <c r="HE84" s="112"/>
      <c r="HF84" s="112"/>
      <c r="HG84" s="112"/>
      <c r="HH84" s="112"/>
      <c r="HI84" s="112"/>
      <c r="HJ84" s="112"/>
      <c r="HK84" s="112"/>
      <c r="HL84" s="112"/>
      <c r="HM84" s="112"/>
      <c r="HN84" s="112"/>
      <c r="HO84" s="112"/>
      <c r="HP84" s="112"/>
      <c r="HQ84" s="112"/>
      <c r="HR84" s="112"/>
      <c r="HS84" s="112"/>
      <c r="HT84" s="112"/>
      <c r="HU84" s="112"/>
      <c r="HV84" s="112"/>
      <c r="HW84" s="112"/>
      <c r="HX84" s="112"/>
      <c r="HY84" s="112"/>
      <c r="HZ84" s="112"/>
      <c r="IA84" s="112"/>
      <c r="IB84" s="112"/>
      <c r="IC84" s="112"/>
      <c r="ID84" s="112"/>
      <c r="IE84" s="112"/>
      <c r="IF84" s="112"/>
      <c r="IG84" s="112"/>
      <c r="IH84" s="112"/>
      <c r="II84" s="112"/>
      <c r="IJ84" s="112"/>
      <c r="IK84" s="112"/>
      <c r="IL84" s="112"/>
      <c r="IM84" s="112"/>
      <c r="IN84" s="112"/>
      <c r="IO84" s="112"/>
      <c r="IP84" s="112"/>
      <c r="IQ84" s="112"/>
      <c r="IR84" s="112"/>
      <c r="IS84" s="112"/>
      <c r="IT84" s="112"/>
    </row>
    <row r="85" spans="1:254" s="113" customFormat="1" x14ac:dyDescent="0.2">
      <c r="A85" s="60"/>
      <c r="B85" s="110"/>
      <c r="C85" s="111"/>
      <c r="D85" s="63"/>
      <c r="E85" s="112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112"/>
      <c r="AS85" s="112"/>
      <c r="AT85" s="112"/>
      <c r="AU85" s="112"/>
      <c r="AV85" s="112"/>
      <c r="AW85" s="112"/>
      <c r="AX85" s="112"/>
      <c r="AY85" s="112"/>
      <c r="AZ85" s="112"/>
      <c r="BA85" s="112"/>
      <c r="BB85" s="112"/>
      <c r="BC85" s="112"/>
      <c r="BD85" s="112"/>
      <c r="BE85" s="112"/>
      <c r="BF85" s="112"/>
      <c r="BG85" s="112"/>
      <c r="BH85" s="112"/>
      <c r="BI85" s="112"/>
      <c r="BJ85" s="112"/>
      <c r="BK85" s="112"/>
      <c r="BL85" s="112"/>
      <c r="BM85" s="112"/>
      <c r="BN85" s="112"/>
      <c r="BO85" s="112"/>
      <c r="BP85" s="112"/>
      <c r="BQ85" s="112"/>
      <c r="BR85" s="112"/>
      <c r="BS85" s="112"/>
      <c r="BT85" s="112"/>
      <c r="BU85" s="112"/>
      <c r="BV85" s="112"/>
      <c r="BW85" s="112"/>
      <c r="BX85" s="112"/>
      <c r="BY85" s="112"/>
      <c r="BZ85" s="112"/>
      <c r="CA85" s="112"/>
      <c r="CB85" s="112"/>
      <c r="CC85" s="112"/>
      <c r="CD85" s="112"/>
      <c r="CE85" s="112"/>
      <c r="CF85" s="112"/>
      <c r="CG85" s="112"/>
      <c r="CH85" s="112"/>
      <c r="CI85" s="112"/>
      <c r="CJ85" s="112"/>
      <c r="CK85" s="112"/>
      <c r="CL85" s="112"/>
      <c r="CM85" s="112"/>
      <c r="CN85" s="112"/>
      <c r="CO85" s="112"/>
      <c r="CP85" s="112"/>
      <c r="CQ85" s="112"/>
      <c r="CR85" s="112"/>
      <c r="CS85" s="112"/>
      <c r="CT85" s="112"/>
      <c r="CU85" s="112"/>
      <c r="CV85" s="112"/>
      <c r="CW85" s="112"/>
      <c r="CX85" s="112"/>
      <c r="CY85" s="112"/>
      <c r="CZ85" s="112"/>
      <c r="DA85" s="112"/>
      <c r="DB85" s="112"/>
      <c r="DC85" s="112"/>
      <c r="DD85" s="112"/>
      <c r="DE85" s="112"/>
      <c r="DF85" s="112"/>
      <c r="DG85" s="112"/>
      <c r="DH85" s="112"/>
      <c r="DI85" s="112"/>
      <c r="DJ85" s="112"/>
      <c r="DK85" s="112"/>
      <c r="DL85" s="112"/>
      <c r="DM85" s="112"/>
      <c r="DN85" s="112"/>
      <c r="DO85" s="112"/>
      <c r="DP85" s="112"/>
      <c r="DQ85" s="112"/>
      <c r="DR85" s="112"/>
      <c r="DS85" s="112"/>
      <c r="DT85" s="112"/>
      <c r="DU85" s="112"/>
      <c r="DV85" s="112"/>
      <c r="DW85" s="112"/>
      <c r="DX85" s="112"/>
      <c r="DY85" s="112"/>
      <c r="DZ85" s="112"/>
      <c r="EA85" s="112"/>
      <c r="EB85" s="112"/>
      <c r="EC85" s="112"/>
      <c r="ED85" s="112"/>
      <c r="EE85" s="112"/>
      <c r="EF85" s="112"/>
      <c r="EG85" s="112"/>
      <c r="EH85" s="112"/>
      <c r="EI85" s="112"/>
      <c r="EJ85" s="112"/>
      <c r="EK85" s="112"/>
      <c r="EL85" s="112"/>
      <c r="EM85" s="112"/>
      <c r="EN85" s="112"/>
      <c r="EO85" s="112"/>
      <c r="EP85" s="112"/>
      <c r="EQ85" s="112"/>
      <c r="ER85" s="112"/>
      <c r="ES85" s="112"/>
      <c r="ET85" s="112"/>
      <c r="EU85" s="112"/>
      <c r="EV85" s="112"/>
      <c r="EW85" s="112"/>
      <c r="EX85" s="112"/>
      <c r="EY85" s="112"/>
      <c r="EZ85" s="112"/>
      <c r="FA85" s="112"/>
      <c r="FB85" s="112"/>
      <c r="FC85" s="112"/>
      <c r="FD85" s="112"/>
      <c r="FE85" s="112"/>
      <c r="FF85" s="112"/>
      <c r="FG85" s="112"/>
      <c r="FH85" s="112"/>
      <c r="FI85" s="112"/>
      <c r="FJ85" s="112"/>
      <c r="FK85" s="112"/>
      <c r="FL85" s="112"/>
      <c r="FM85" s="112"/>
      <c r="FN85" s="112"/>
      <c r="FO85" s="112"/>
      <c r="FP85" s="112"/>
      <c r="FQ85" s="112"/>
      <c r="FR85" s="112"/>
      <c r="FS85" s="112"/>
      <c r="FT85" s="112"/>
      <c r="FU85" s="112"/>
      <c r="FV85" s="112"/>
      <c r="FW85" s="112"/>
      <c r="FX85" s="112"/>
      <c r="FY85" s="112"/>
      <c r="FZ85" s="112"/>
      <c r="GA85" s="112"/>
      <c r="GB85" s="112"/>
      <c r="GC85" s="112"/>
      <c r="GD85" s="112"/>
      <c r="GE85" s="112"/>
      <c r="GF85" s="112"/>
      <c r="GG85" s="112"/>
      <c r="GH85" s="112"/>
      <c r="GI85" s="112"/>
      <c r="GJ85" s="112"/>
      <c r="GK85" s="112"/>
      <c r="GL85" s="112"/>
      <c r="GM85" s="112"/>
      <c r="GN85" s="112"/>
      <c r="GO85" s="112"/>
      <c r="GP85" s="112"/>
      <c r="GQ85" s="112"/>
      <c r="GR85" s="112"/>
      <c r="GS85" s="112"/>
      <c r="GT85" s="112"/>
      <c r="GU85" s="112"/>
      <c r="GV85" s="112"/>
      <c r="GW85" s="112"/>
      <c r="GX85" s="112"/>
      <c r="GY85" s="112"/>
      <c r="GZ85" s="112"/>
      <c r="HA85" s="112"/>
      <c r="HB85" s="112"/>
      <c r="HC85" s="112"/>
      <c r="HD85" s="112"/>
      <c r="HE85" s="112"/>
      <c r="HF85" s="112"/>
      <c r="HG85" s="112"/>
      <c r="HH85" s="112"/>
      <c r="HI85" s="112"/>
      <c r="HJ85" s="112"/>
      <c r="HK85" s="112"/>
      <c r="HL85" s="112"/>
      <c r="HM85" s="112"/>
      <c r="HN85" s="112"/>
      <c r="HO85" s="112"/>
      <c r="HP85" s="112"/>
      <c r="HQ85" s="112"/>
      <c r="HR85" s="112"/>
      <c r="HS85" s="112"/>
      <c r="HT85" s="112"/>
      <c r="HU85" s="112"/>
      <c r="HV85" s="112"/>
      <c r="HW85" s="112"/>
      <c r="HX85" s="112"/>
      <c r="HY85" s="112"/>
      <c r="HZ85" s="112"/>
      <c r="IA85" s="112"/>
      <c r="IB85" s="112"/>
      <c r="IC85" s="112"/>
      <c r="ID85" s="112"/>
      <c r="IE85" s="112"/>
      <c r="IF85" s="112"/>
      <c r="IG85" s="112"/>
      <c r="IH85" s="112"/>
      <c r="II85" s="112"/>
      <c r="IJ85" s="112"/>
      <c r="IK85" s="112"/>
      <c r="IL85" s="112"/>
      <c r="IM85" s="112"/>
      <c r="IN85" s="112"/>
      <c r="IO85" s="112"/>
      <c r="IP85" s="112"/>
      <c r="IQ85" s="112"/>
      <c r="IR85" s="112"/>
      <c r="IS85" s="112"/>
      <c r="IT85" s="112"/>
    </row>
    <row r="86" spans="1:254" s="113" customFormat="1" x14ac:dyDescent="0.2">
      <c r="A86" s="60"/>
      <c r="B86" s="110"/>
      <c r="C86" s="111"/>
      <c r="D86" s="63"/>
      <c r="E86" s="112"/>
      <c r="F86" s="112"/>
      <c r="G86" s="112"/>
      <c r="H86" s="112"/>
      <c r="I86" s="112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112"/>
      <c r="AS86" s="112"/>
      <c r="AT86" s="112"/>
      <c r="AU86" s="112"/>
      <c r="AV86" s="112"/>
      <c r="AW86" s="112"/>
      <c r="AX86" s="112"/>
      <c r="AY86" s="112"/>
      <c r="AZ86" s="112"/>
      <c r="BA86" s="112"/>
      <c r="BB86" s="112"/>
      <c r="BC86" s="112"/>
      <c r="BD86" s="112"/>
      <c r="BE86" s="112"/>
      <c r="BF86" s="112"/>
      <c r="BG86" s="112"/>
      <c r="BH86" s="112"/>
      <c r="BI86" s="112"/>
      <c r="BJ86" s="112"/>
      <c r="BK86" s="112"/>
      <c r="BL86" s="112"/>
      <c r="BM86" s="112"/>
      <c r="BN86" s="112"/>
      <c r="BO86" s="112"/>
      <c r="BP86" s="112"/>
      <c r="BQ86" s="112"/>
      <c r="BR86" s="112"/>
      <c r="BS86" s="112"/>
      <c r="BT86" s="112"/>
      <c r="BU86" s="112"/>
      <c r="BV86" s="112"/>
      <c r="BW86" s="112"/>
      <c r="BX86" s="112"/>
      <c r="BY86" s="112"/>
      <c r="BZ86" s="112"/>
      <c r="CA86" s="112"/>
      <c r="CB86" s="112"/>
      <c r="CC86" s="112"/>
      <c r="CD86" s="112"/>
      <c r="CE86" s="112"/>
      <c r="CF86" s="112"/>
      <c r="CG86" s="112"/>
      <c r="CH86" s="112"/>
      <c r="CI86" s="112"/>
      <c r="CJ86" s="112"/>
      <c r="CK86" s="112"/>
      <c r="CL86" s="112"/>
      <c r="CM86" s="112"/>
      <c r="CN86" s="112"/>
      <c r="CO86" s="112"/>
      <c r="CP86" s="112"/>
      <c r="CQ86" s="112"/>
      <c r="CR86" s="112"/>
      <c r="CS86" s="112"/>
      <c r="CT86" s="112"/>
      <c r="CU86" s="112"/>
      <c r="CV86" s="112"/>
      <c r="CW86" s="112"/>
      <c r="CX86" s="112"/>
      <c r="CY86" s="112"/>
      <c r="CZ86" s="112"/>
      <c r="DA86" s="112"/>
      <c r="DB86" s="112"/>
      <c r="DC86" s="112"/>
      <c r="DD86" s="112"/>
      <c r="DE86" s="112"/>
      <c r="DF86" s="112"/>
      <c r="DG86" s="112"/>
      <c r="DH86" s="112"/>
      <c r="DI86" s="112"/>
      <c r="DJ86" s="112"/>
      <c r="DK86" s="112"/>
      <c r="DL86" s="112"/>
      <c r="DM86" s="112"/>
      <c r="DN86" s="112"/>
      <c r="DO86" s="112"/>
      <c r="DP86" s="112"/>
      <c r="DQ86" s="112"/>
      <c r="DR86" s="112"/>
      <c r="DS86" s="112"/>
      <c r="DT86" s="112"/>
      <c r="DU86" s="112"/>
      <c r="DV86" s="112"/>
      <c r="DW86" s="112"/>
      <c r="DX86" s="112"/>
      <c r="DY86" s="112"/>
      <c r="DZ86" s="112"/>
      <c r="EA86" s="112"/>
      <c r="EB86" s="112"/>
      <c r="EC86" s="112"/>
      <c r="ED86" s="112"/>
      <c r="EE86" s="112"/>
      <c r="EF86" s="112"/>
      <c r="EG86" s="112"/>
      <c r="EH86" s="112"/>
      <c r="EI86" s="112"/>
      <c r="EJ86" s="112"/>
      <c r="EK86" s="112"/>
      <c r="EL86" s="112"/>
      <c r="EM86" s="112"/>
      <c r="EN86" s="112"/>
      <c r="EO86" s="112"/>
      <c r="EP86" s="112"/>
      <c r="EQ86" s="112"/>
      <c r="ER86" s="112"/>
      <c r="ES86" s="112"/>
      <c r="ET86" s="112"/>
      <c r="EU86" s="112"/>
      <c r="EV86" s="112"/>
      <c r="EW86" s="112"/>
      <c r="EX86" s="112"/>
      <c r="EY86" s="112"/>
      <c r="EZ86" s="112"/>
      <c r="FA86" s="112"/>
      <c r="FB86" s="112"/>
      <c r="FC86" s="112"/>
      <c r="FD86" s="112"/>
      <c r="FE86" s="112"/>
      <c r="FF86" s="112"/>
      <c r="FG86" s="112"/>
      <c r="FH86" s="112"/>
      <c r="FI86" s="112"/>
      <c r="FJ86" s="112"/>
      <c r="FK86" s="112"/>
      <c r="FL86" s="112"/>
      <c r="FM86" s="112"/>
      <c r="FN86" s="112"/>
      <c r="FO86" s="112"/>
      <c r="FP86" s="112"/>
      <c r="FQ86" s="112"/>
      <c r="FR86" s="112"/>
      <c r="FS86" s="112"/>
      <c r="FT86" s="112"/>
      <c r="FU86" s="112"/>
      <c r="FV86" s="112"/>
      <c r="FW86" s="112"/>
      <c r="FX86" s="112"/>
      <c r="FY86" s="112"/>
      <c r="FZ86" s="112"/>
      <c r="GA86" s="112"/>
      <c r="GB86" s="112"/>
      <c r="GC86" s="112"/>
      <c r="GD86" s="112"/>
      <c r="GE86" s="112"/>
      <c r="GF86" s="112"/>
      <c r="GG86" s="112"/>
      <c r="GH86" s="112"/>
      <c r="GI86" s="112"/>
      <c r="GJ86" s="112"/>
      <c r="GK86" s="112"/>
      <c r="GL86" s="112"/>
      <c r="GM86" s="112"/>
      <c r="GN86" s="112"/>
      <c r="GO86" s="112"/>
      <c r="GP86" s="112"/>
      <c r="GQ86" s="112"/>
      <c r="GR86" s="112"/>
      <c r="GS86" s="112"/>
      <c r="GT86" s="112"/>
      <c r="GU86" s="112"/>
      <c r="GV86" s="112"/>
      <c r="GW86" s="112"/>
      <c r="GX86" s="112"/>
      <c r="GY86" s="112"/>
      <c r="GZ86" s="112"/>
      <c r="HA86" s="112"/>
      <c r="HB86" s="112"/>
      <c r="HC86" s="112"/>
      <c r="HD86" s="112"/>
      <c r="HE86" s="112"/>
      <c r="HF86" s="112"/>
      <c r="HG86" s="112"/>
      <c r="HH86" s="112"/>
      <c r="HI86" s="112"/>
      <c r="HJ86" s="112"/>
      <c r="HK86" s="112"/>
      <c r="HL86" s="112"/>
      <c r="HM86" s="112"/>
      <c r="HN86" s="112"/>
      <c r="HO86" s="112"/>
      <c r="HP86" s="112"/>
      <c r="HQ86" s="112"/>
      <c r="HR86" s="112"/>
      <c r="HS86" s="112"/>
      <c r="HT86" s="112"/>
      <c r="HU86" s="112"/>
      <c r="HV86" s="112"/>
      <c r="HW86" s="112"/>
      <c r="HX86" s="112"/>
      <c r="HY86" s="112"/>
      <c r="HZ86" s="112"/>
      <c r="IA86" s="112"/>
      <c r="IB86" s="112"/>
      <c r="IC86" s="112"/>
      <c r="ID86" s="112"/>
      <c r="IE86" s="112"/>
      <c r="IF86" s="112"/>
      <c r="IG86" s="112"/>
      <c r="IH86" s="112"/>
      <c r="II86" s="112"/>
      <c r="IJ86" s="112"/>
      <c r="IK86" s="112"/>
      <c r="IL86" s="112"/>
      <c r="IM86" s="112"/>
      <c r="IN86" s="112"/>
      <c r="IO86" s="112"/>
      <c r="IP86" s="112"/>
      <c r="IQ86" s="112"/>
      <c r="IR86" s="112"/>
      <c r="IS86" s="112"/>
      <c r="IT86" s="112"/>
    </row>
    <row r="87" spans="1:254" s="113" customFormat="1" x14ac:dyDescent="0.2">
      <c r="A87" s="60"/>
      <c r="B87" s="110"/>
      <c r="C87" s="111"/>
      <c r="D87" s="63"/>
      <c r="E87" s="112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R87" s="112"/>
      <c r="AS87" s="112"/>
      <c r="AT87" s="112"/>
      <c r="AU87" s="112"/>
      <c r="AV87" s="112"/>
      <c r="AW87" s="112"/>
      <c r="AX87" s="112"/>
      <c r="AY87" s="112"/>
      <c r="AZ87" s="112"/>
      <c r="BA87" s="112"/>
      <c r="BB87" s="112"/>
      <c r="BC87" s="112"/>
      <c r="BD87" s="112"/>
      <c r="BE87" s="112"/>
      <c r="BF87" s="112"/>
      <c r="BG87" s="112"/>
      <c r="BH87" s="112"/>
      <c r="BI87" s="112"/>
      <c r="BJ87" s="112"/>
      <c r="BK87" s="112"/>
      <c r="BL87" s="112"/>
      <c r="BM87" s="112"/>
      <c r="BN87" s="112"/>
      <c r="BO87" s="112"/>
      <c r="BP87" s="112"/>
      <c r="BQ87" s="112"/>
      <c r="BR87" s="112"/>
      <c r="BS87" s="112"/>
      <c r="BT87" s="112"/>
      <c r="BU87" s="112"/>
      <c r="BV87" s="112"/>
      <c r="BW87" s="112"/>
      <c r="BX87" s="112"/>
      <c r="BY87" s="112"/>
      <c r="BZ87" s="112"/>
      <c r="CA87" s="112"/>
      <c r="CB87" s="112"/>
      <c r="CC87" s="112"/>
      <c r="CD87" s="112"/>
      <c r="CE87" s="112"/>
      <c r="CF87" s="112"/>
      <c r="CG87" s="112"/>
      <c r="CH87" s="112"/>
      <c r="CI87" s="112"/>
      <c r="CJ87" s="112"/>
      <c r="CK87" s="112"/>
      <c r="CL87" s="112"/>
      <c r="CM87" s="112"/>
      <c r="CN87" s="112"/>
      <c r="CO87" s="112"/>
      <c r="CP87" s="112"/>
      <c r="CQ87" s="112"/>
      <c r="CR87" s="112"/>
      <c r="CS87" s="112"/>
      <c r="CT87" s="112"/>
      <c r="CU87" s="112"/>
      <c r="CV87" s="112"/>
      <c r="CW87" s="112"/>
      <c r="CX87" s="112"/>
      <c r="CY87" s="112"/>
      <c r="CZ87" s="112"/>
      <c r="DA87" s="112"/>
      <c r="DB87" s="112"/>
      <c r="DC87" s="112"/>
      <c r="DD87" s="112"/>
      <c r="DE87" s="112"/>
      <c r="DF87" s="112"/>
      <c r="DG87" s="112"/>
      <c r="DH87" s="112"/>
      <c r="DI87" s="112"/>
      <c r="DJ87" s="112"/>
      <c r="DK87" s="112"/>
      <c r="DL87" s="112"/>
      <c r="DM87" s="112"/>
      <c r="DN87" s="112"/>
      <c r="DO87" s="112"/>
      <c r="DP87" s="112"/>
      <c r="DQ87" s="112"/>
      <c r="DR87" s="112"/>
      <c r="DS87" s="112"/>
      <c r="DT87" s="112"/>
      <c r="DU87" s="112"/>
      <c r="DV87" s="112"/>
      <c r="DW87" s="112"/>
      <c r="DX87" s="112"/>
      <c r="DY87" s="112"/>
      <c r="DZ87" s="112"/>
      <c r="EA87" s="112"/>
      <c r="EB87" s="112"/>
      <c r="EC87" s="112"/>
      <c r="ED87" s="112"/>
      <c r="EE87" s="112"/>
      <c r="EF87" s="112"/>
      <c r="EG87" s="112"/>
      <c r="EH87" s="112"/>
      <c r="EI87" s="112"/>
      <c r="EJ87" s="112"/>
      <c r="EK87" s="112"/>
      <c r="EL87" s="112"/>
      <c r="EM87" s="112"/>
      <c r="EN87" s="112"/>
      <c r="EO87" s="112"/>
      <c r="EP87" s="112"/>
      <c r="EQ87" s="112"/>
      <c r="ER87" s="112"/>
      <c r="ES87" s="112"/>
      <c r="ET87" s="112"/>
      <c r="EU87" s="112"/>
      <c r="EV87" s="112"/>
      <c r="EW87" s="112"/>
      <c r="EX87" s="112"/>
      <c r="EY87" s="112"/>
      <c r="EZ87" s="112"/>
      <c r="FA87" s="112"/>
      <c r="FB87" s="112"/>
      <c r="FC87" s="112"/>
      <c r="FD87" s="112"/>
      <c r="FE87" s="112"/>
      <c r="FF87" s="112"/>
      <c r="FG87" s="112"/>
      <c r="FH87" s="112"/>
      <c r="FI87" s="112"/>
      <c r="FJ87" s="112"/>
      <c r="FK87" s="112"/>
      <c r="FL87" s="112"/>
      <c r="FM87" s="112"/>
      <c r="FN87" s="112"/>
      <c r="FO87" s="112"/>
      <c r="FP87" s="112"/>
      <c r="FQ87" s="112"/>
      <c r="FR87" s="112"/>
      <c r="FS87" s="112"/>
      <c r="FT87" s="112"/>
      <c r="FU87" s="112"/>
      <c r="FV87" s="112"/>
      <c r="FW87" s="112"/>
      <c r="FX87" s="112"/>
      <c r="FY87" s="112"/>
      <c r="FZ87" s="112"/>
      <c r="GA87" s="112"/>
      <c r="GB87" s="112"/>
      <c r="GC87" s="112"/>
      <c r="GD87" s="112"/>
      <c r="GE87" s="112"/>
      <c r="GF87" s="112"/>
      <c r="GG87" s="112"/>
      <c r="GH87" s="112"/>
      <c r="GI87" s="112"/>
      <c r="GJ87" s="112"/>
      <c r="GK87" s="112"/>
      <c r="GL87" s="112"/>
      <c r="GM87" s="112"/>
      <c r="GN87" s="112"/>
      <c r="GO87" s="112"/>
      <c r="GP87" s="112"/>
      <c r="GQ87" s="112"/>
      <c r="GR87" s="112"/>
      <c r="GS87" s="112"/>
      <c r="GT87" s="112"/>
      <c r="GU87" s="112"/>
      <c r="GV87" s="112"/>
      <c r="GW87" s="112"/>
      <c r="GX87" s="112"/>
      <c r="GY87" s="112"/>
      <c r="GZ87" s="112"/>
      <c r="HA87" s="112"/>
      <c r="HB87" s="112"/>
      <c r="HC87" s="112"/>
      <c r="HD87" s="112"/>
      <c r="HE87" s="112"/>
      <c r="HF87" s="112"/>
      <c r="HG87" s="112"/>
      <c r="HH87" s="112"/>
      <c r="HI87" s="112"/>
      <c r="HJ87" s="112"/>
      <c r="HK87" s="112"/>
      <c r="HL87" s="112"/>
      <c r="HM87" s="112"/>
      <c r="HN87" s="112"/>
      <c r="HO87" s="112"/>
      <c r="HP87" s="112"/>
      <c r="HQ87" s="112"/>
      <c r="HR87" s="112"/>
      <c r="HS87" s="112"/>
      <c r="HT87" s="112"/>
      <c r="HU87" s="112"/>
      <c r="HV87" s="112"/>
      <c r="HW87" s="112"/>
      <c r="HX87" s="112"/>
      <c r="HY87" s="112"/>
      <c r="HZ87" s="112"/>
      <c r="IA87" s="112"/>
      <c r="IB87" s="112"/>
      <c r="IC87" s="112"/>
      <c r="ID87" s="112"/>
      <c r="IE87" s="112"/>
      <c r="IF87" s="112"/>
      <c r="IG87" s="112"/>
      <c r="IH87" s="112"/>
      <c r="II87" s="112"/>
      <c r="IJ87" s="112"/>
      <c r="IK87" s="112"/>
      <c r="IL87" s="112"/>
      <c r="IM87" s="112"/>
      <c r="IN87" s="112"/>
      <c r="IO87" s="112"/>
      <c r="IP87" s="112"/>
      <c r="IQ87" s="112"/>
      <c r="IR87" s="112"/>
      <c r="IS87" s="112"/>
      <c r="IT87" s="112"/>
    </row>
    <row r="88" spans="1:254" s="113" customFormat="1" x14ac:dyDescent="0.2">
      <c r="A88" s="60"/>
      <c r="B88" s="110"/>
      <c r="C88" s="111"/>
      <c r="D88" s="63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  <c r="AU88" s="112"/>
      <c r="AV88" s="112"/>
      <c r="AW88" s="112"/>
      <c r="AX88" s="112"/>
      <c r="AY88" s="112"/>
      <c r="AZ88" s="112"/>
      <c r="BA88" s="112"/>
      <c r="BB88" s="112"/>
      <c r="BC88" s="112"/>
      <c r="BD88" s="112"/>
      <c r="BE88" s="112"/>
      <c r="BF88" s="112"/>
      <c r="BG88" s="112"/>
      <c r="BH88" s="112"/>
      <c r="BI88" s="112"/>
      <c r="BJ88" s="112"/>
      <c r="BK88" s="112"/>
      <c r="BL88" s="112"/>
      <c r="BM88" s="112"/>
      <c r="BN88" s="112"/>
      <c r="BO88" s="112"/>
      <c r="BP88" s="112"/>
      <c r="BQ88" s="112"/>
      <c r="BR88" s="112"/>
      <c r="BS88" s="112"/>
      <c r="BT88" s="112"/>
      <c r="BU88" s="112"/>
      <c r="BV88" s="112"/>
      <c r="BW88" s="112"/>
      <c r="BX88" s="112"/>
      <c r="BY88" s="112"/>
      <c r="BZ88" s="112"/>
      <c r="CA88" s="112"/>
      <c r="CB88" s="112"/>
      <c r="CC88" s="112"/>
      <c r="CD88" s="112"/>
      <c r="CE88" s="112"/>
      <c r="CF88" s="112"/>
      <c r="CG88" s="112"/>
      <c r="CH88" s="112"/>
      <c r="CI88" s="112"/>
      <c r="CJ88" s="112"/>
      <c r="CK88" s="112"/>
      <c r="CL88" s="112"/>
      <c r="CM88" s="112"/>
      <c r="CN88" s="112"/>
      <c r="CO88" s="112"/>
      <c r="CP88" s="112"/>
      <c r="CQ88" s="112"/>
      <c r="CR88" s="112"/>
      <c r="CS88" s="112"/>
      <c r="CT88" s="112"/>
      <c r="CU88" s="112"/>
      <c r="CV88" s="112"/>
      <c r="CW88" s="112"/>
      <c r="CX88" s="112"/>
      <c r="CY88" s="112"/>
      <c r="CZ88" s="112"/>
      <c r="DA88" s="112"/>
      <c r="DB88" s="112"/>
      <c r="DC88" s="112"/>
      <c r="DD88" s="112"/>
      <c r="DE88" s="112"/>
      <c r="DF88" s="112"/>
      <c r="DG88" s="112"/>
      <c r="DH88" s="112"/>
      <c r="DI88" s="112"/>
      <c r="DJ88" s="112"/>
      <c r="DK88" s="112"/>
      <c r="DL88" s="112"/>
      <c r="DM88" s="112"/>
      <c r="DN88" s="112"/>
      <c r="DO88" s="112"/>
      <c r="DP88" s="112"/>
      <c r="DQ88" s="112"/>
      <c r="DR88" s="112"/>
      <c r="DS88" s="112"/>
      <c r="DT88" s="112"/>
      <c r="DU88" s="112"/>
      <c r="DV88" s="112"/>
      <c r="DW88" s="112"/>
      <c r="DX88" s="112"/>
      <c r="DY88" s="112"/>
      <c r="DZ88" s="112"/>
      <c r="EA88" s="112"/>
      <c r="EB88" s="112"/>
      <c r="EC88" s="112"/>
      <c r="ED88" s="112"/>
      <c r="EE88" s="112"/>
      <c r="EF88" s="112"/>
      <c r="EG88" s="112"/>
      <c r="EH88" s="112"/>
      <c r="EI88" s="112"/>
      <c r="EJ88" s="112"/>
      <c r="EK88" s="112"/>
      <c r="EL88" s="112"/>
      <c r="EM88" s="112"/>
      <c r="EN88" s="112"/>
      <c r="EO88" s="112"/>
      <c r="EP88" s="112"/>
      <c r="EQ88" s="112"/>
      <c r="ER88" s="112"/>
      <c r="ES88" s="112"/>
      <c r="ET88" s="112"/>
      <c r="EU88" s="112"/>
      <c r="EV88" s="112"/>
      <c r="EW88" s="112"/>
      <c r="EX88" s="112"/>
      <c r="EY88" s="112"/>
      <c r="EZ88" s="112"/>
      <c r="FA88" s="112"/>
      <c r="FB88" s="112"/>
      <c r="FC88" s="112"/>
      <c r="FD88" s="112"/>
      <c r="FE88" s="112"/>
      <c r="FF88" s="112"/>
      <c r="FG88" s="112"/>
      <c r="FH88" s="112"/>
      <c r="FI88" s="112"/>
      <c r="FJ88" s="112"/>
      <c r="FK88" s="112"/>
      <c r="FL88" s="112"/>
      <c r="FM88" s="112"/>
      <c r="FN88" s="112"/>
      <c r="FO88" s="112"/>
      <c r="FP88" s="112"/>
      <c r="FQ88" s="112"/>
      <c r="FR88" s="112"/>
      <c r="FS88" s="112"/>
      <c r="FT88" s="112"/>
      <c r="FU88" s="112"/>
      <c r="FV88" s="112"/>
      <c r="FW88" s="112"/>
      <c r="FX88" s="112"/>
      <c r="FY88" s="112"/>
      <c r="FZ88" s="112"/>
      <c r="GA88" s="112"/>
      <c r="GB88" s="112"/>
      <c r="GC88" s="112"/>
      <c r="GD88" s="112"/>
      <c r="GE88" s="112"/>
      <c r="GF88" s="112"/>
      <c r="GG88" s="112"/>
      <c r="GH88" s="112"/>
      <c r="GI88" s="112"/>
      <c r="GJ88" s="112"/>
      <c r="GK88" s="112"/>
      <c r="GL88" s="112"/>
      <c r="GM88" s="112"/>
      <c r="GN88" s="112"/>
      <c r="GO88" s="112"/>
      <c r="GP88" s="112"/>
      <c r="GQ88" s="112"/>
      <c r="GR88" s="112"/>
      <c r="GS88" s="112"/>
      <c r="GT88" s="112"/>
      <c r="GU88" s="112"/>
      <c r="GV88" s="112"/>
      <c r="GW88" s="112"/>
      <c r="GX88" s="112"/>
      <c r="GY88" s="112"/>
      <c r="GZ88" s="112"/>
      <c r="HA88" s="112"/>
      <c r="HB88" s="112"/>
      <c r="HC88" s="112"/>
      <c r="HD88" s="112"/>
      <c r="HE88" s="112"/>
      <c r="HF88" s="112"/>
      <c r="HG88" s="112"/>
      <c r="HH88" s="112"/>
      <c r="HI88" s="112"/>
      <c r="HJ88" s="112"/>
      <c r="HK88" s="112"/>
      <c r="HL88" s="112"/>
      <c r="HM88" s="112"/>
      <c r="HN88" s="112"/>
      <c r="HO88" s="112"/>
      <c r="HP88" s="112"/>
      <c r="HQ88" s="112"/>
      <c r="HR88" s="112"/>
      <c r="HS88" s="112"/>
      <c r="HT88" s="112"/>
      <c r="HU88" s="112"/>
      <c r="HV88" s="112"/>
      <c r="HW88" s="112"/>
      <c r="HX88" s="112"/>
      <c r="HY88" s="112"/>
      <c r="HZ88" s="112"/>
      <c r="IA88" s="112"/>
      <c r="IB88" s="112"/>
      <c r="IC88" s="112"/>
      <c r="ID88" s="112"/>
      <c r="IE88" s="112"/>
      <c r="IF88" s="112"/>
      <c r="IG88" s="112"/>
      <c r="IH88" s="112"/>
      <c r="II88" s="112"/>
      <c r="IJ88" s="112"/>
      <c r="IK88" s="112"/>
      <c r="IL88" s="112"/>
      <c r="IM88" s="112"/>
      <c r="IN88" s="112"/>
      <c r="IO88" s="112"/>
      <c r="IP88" s="112"/>
      <c r="IQ88" s="112"/>
      <c r="IR88" s="112"/>
      <c r="IS88" s="112"/>
      <c r="IT88" s="112"/>
    </row>
    <row r="89" spans="1:254" s="113" customFormat="1" x14ac:dyDescent="0.2">
      <c r="A89" s="60"/>
      <c r="B89" s="110"/>
      <c r="C89" s="111"/>
      <c r="D89" s="63"/>
      <c r="E89" s="112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12"/>
      <c r="AT89" s="112"/>
      <c r="AU89" s="112"/>
      <c r="AV89" s="112"/>
      <c r="AW89" s="112"/>
      <c r="AX89" s="112"/>
      <c r="AY89" s="112"/>
      <c r="AZ89" s="112"/>
      <c r="BA89" s="112"/>
      <c r="BB89" s="112"/>
      <c r="BC89" s="112"/>
      <c r="BD89" s="112"/>
      <c r="BE89" s="112"/>
      <c r="BF89" s="112"/>
      <c r="BG89" s="112"/>
      <c r="BH89" s="112"/>
      <c r="BI89" s="112"/>
      <c r="BJ89" s="112"/>
      <c r="BK89" s="112"/>
      <c r="BL89" s="112"/>
      <c r="BM89" s="112"/>
      <c r="BN89" s="112"/>
      <c r="BO89" s="112"/>
      <c r="BP89" s="112"/>
      <c r="BQ89" s="112"/>
      <c r="BR89" s="112"/>
      <c r="BS89" s="112"/>
      <c r="BT89" s="112"/>
      <c r="BU89" s="112"/>
      <c r="BV89" s="112"/>
      <c r="BW89" s="112"/>
      <c r="BX89" s="112"/>
      <c r="BY89" s="112"/>
      <c r="BZ89" s="112"/>
      <c r="CA89" s="112"/>
      <c r="CB89" s="112"/>
      <c r="CC89" s="112"/>
      <c r="CD89" s="112"/>
      <c r="CE89" s="112"/>
      <c r="CF89" s="112"/>
      <c r="CG89" s="112"/>
      <c r="CH89" s="112"/>
      <c r="CI89" s="112"/>
      <c r="CJ89" s="112"/>
      <c r="CK89" s="112"/>
      <c r="CL89" s="112"/>
      <c r="CM89" s="112"/>
      <c r="CN89" s="112"/>
      <c r="CO89" s="112"/>
      <c r="CP89" s="112"/>
      <c r="CQ89" s="112"/>
      <c r="CR89" s="112"/>
      <c r="CS89" s="112"/>
      <c r="CT89" s="112"/>
      <c r="CU89" s="112"/>
      <c r="CV89" s="112"/>
      <c r="CW89" s="112"/>
      <c r="CX89" s="112"/>
      <c r="CY89" s="112"/>
      <c r="CZ89" s="112"/>
      <c r="DA89" s="112"/>
      <c r="DB89" s="112"/>
      <c r="DC89" s="112"/>
      <c r="DD89" s="112"/>
      <c r="DE89" s="112"/>
      <c r="DF89" s="112"/>
      <c r="DG89" s="112"/>
      <c r="DH89" s="112"/>
      <c r="DI89" s="112"/>
      <c r="DJ89" s="112"/>
      <c r="DK89" s="112"/>
      <c r="DL89" s="112"/>
      <c r="DM89" s="112"/>
      <c r="DN89" s="112"/>
      <c r="DO89" s="112"/>
      <c r="DP89" s="112"/>
      <c r="DQ89" s="112"/>
      <c r="DR89" s="112"/>
      <c r="DS89" s="112"/>
      <c r="DT89" s="112"/>
      <c r="DU89" s="112"/>
      <c r="DV89" s="112"/>
      <c r="DW89" s="112"/>
      <c r="DX89" s="112"/>
      <c r="DY89" s="112"/>
      <c r="DZ89" s="112"/>
      <c r="EA89" s="112"/>
      <c r="EB89" s="112"/>
      <c r="EC89" s="112"/>
      <c r="ED89" s="112"/>
      <c r="EE89" s="112"/>
      <c r="EF89" s="112"/>
      <c r="EG89" s="112"/>
      <c r="EH89" s="112"/>
      <c r="EI89" s="112"/>
      <c r="EJ89" s="112"/>
      <c r="EK89" s="112"/>
      <c r="EL89" s="112"/>
      <c r="EM89" s="112"/>
      <c r="EN89" s="112"/>
      <c r="EO89" s="112"/>
      <c r="EP89" s="112"/>
      <c r="EQ89" s="112"/>
      <c r="ER89" s="112"/>
      <c r="ES89" s="112"/>
      <c r="ET89" s="112"/>
      <c r="EU89" s="112"/>
      <c r="EV89" s="112"/>
      <c r="EW89" s="112"/>
      <c r="EX89" s="112"/>
      <c r="EY89" s="112"/>
      <c r="EZ89" s="112"/>
      <c r="FA89" s="112"/>
      <c r="FB89" s="112"/>
      <c r="FC89" s="112"/>
      <c r="FD89" s="112"/>
      <c r="FE89" s="112"/>
      <c r="FF89" s="112"/>
      <c r="FG89" s="112"/>
      <c r="FH89" s="112"/>
      <c r="FI89" s="112"/>
      <c r="FJ89" s="112"/>
      <c r="FK89" s="112"/>
      <c r="FL89" s="112"/>
      <c r="FM89" s="112"/>
      <c r="FN89" s="112"/>
      <c r="FO89" s="112"/>
      <c r="FP89" s="112"/>
      <c r="FQ89" s="112"/>
      <c r="FR89" s="112"/>
      <c r="FS89" s="112"/>
      <c r="FT89" s="112"/>
      <c r="FU89" s="112"/>
      <c r="FV89" s="112"/>
      <c r="FW89" s="112"/>
      <c r="FX89" s="112"/>
      <c r="FY89" s="112"/>
      <c r="FZ89" s="112"/>
      <c r="GA89" s="112"/>
      <c r="GB89" s="112"/>
      <c r="GC89" s="112"/>
      <c r="GD89" s="112"/>
      <c r="GE89" s="112"/>
      <c r="GF89" s="112"/>
      <c r="GG89" s="112"/>
      <c r="GH89" s="112"/>
      <c r="GI89" s="112"/>
      <c r="GJ89" s="112"/>
      <c r="GK89" s="112"/>
      <c r="GL89" s="112"/>
      <c r="GM89" s="112"/>
      <c r="GN89" s="112"/>
      <c r="GO89" s="112"/>
      <c r="GP89" s="112"/>
      <c r="GQ89" s="112"/>
      <c r="GR89" s="112"/>
      <c r="GS89" s="112"/>
      <c r="GT89" s="112"/>
      <c r="GU89" s="112"/>
      <c r="GV89" s="112"/>
      <c r="GW89" s="112"/>
      <c r="GX89" s="112"/>
      <c r="GY89" s="112"/>
      <c r="GZ89" s="112"/>
      <c r="HA89" s="112"/>
      <c r="HB89" s="112"/>
      <c r="HC89" s="112"/>
      <c r="HD89" s="112"/>
      <c r="HE89" s="112"/>
      <c r="HF89" s="112"/>
      <c r="HG89" s="112"/>
      <c r="HH89" s="112"/>
      <c r="HI89" s="112"/>
      <c r="HJ89" s="112"/>
      <c r="HK89" s="112"/>
      <c r="HL89" s="112"/>
      <c r="HM89" s="112"/>
      <c r="HN89" s="112"/>
      <c r="HO89" s="112"/>
      <c r="HP89" s="112"/>
      <c r="HQ89" s="112"/>
      <c r="HR89" s="112"/>
      <c r="HS89" s="112"/>
      <c r="HT89" s="112"/>
      <c r="HU89" s="112"/>
      <c r="HV89" s="112"/>
      <c r="HW89" s="112"/>
      <c r="HX89" s="112"/>
      <c r="HY89" s="112"/>
      <c r="HZ89" s="112"/>
      <c r="IA89" s="112"/>
      <c r="IB89" s="112"/>
      <c r="IC89" s="112"/>
      <c r="ID89" s="112"/>
      <c r="IE89" s="112"/>
      <c r="IF89" s="112"/>
      <c r="IG89" s="112"/>
      <c r="IH89" s="112"/>
      <c r="II89" s="112"/>
      <c r="IJ89" s="112"/>
      <c r="IK89" s="112"/>
      <c r="IL89" s="112"/>
      <c r="IM89" s="112"/>
      <c r="IN89" s="112"/>
      <c r="IO89" s="112"/>
      <c r="IP89" s="112"/>
      <c r="IQ89" s="112"/>
      <c r="IR89" s="112"/>
      <c r="IS89" s="112"/>
      <c r="IT89" s="112"/>
    </row>
    <row r="90" spans="1:254" s="113" customFormat="1" x14ac:dyDescent="0.2">
      <c r="A90" s="60"/>
      <c r="B90" s="110"/>
      <c r="C90" s="111"/>
      <c r="D90" s="63"/>
      <c r="E90" s="112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R90" s="112"/>
      <c r="AS90" s="112"/>
      <c r="AT90" s="112"/>
      <c r="AU90" s="112"/>
      <c r="AV90" s="112"/>
      <c r="AW90" s="112"/>
      <c r="AX90" s="112"/>
      <c r="AY90" s="112"/>
      <c r="AZ90" s="112"/>
      <c r="BA90" s="112"/>
      <c r="BB90" s="112"/>
      <c r="BC90" s="112"/>
      <c r="BD90" s="112"/>
      <c r="BE90" s="112"/>
      <c r="BF90" s="112"/>
      <c r="BG90" s="112"/>
      <c r="BH90" s="112"/>
      <c r="BI90" s="112"/>
      <c r="BJ90" s="112"/>
      <c r="BK90" s="112"/>
      <c r="BL90" s="112"/>
      <c r="BM90" s="112"/>
      <c r="BN90" s="112"/>
      <c r="BO90" s="112"/>
      <c r="BP90" s="112"/>
      <c r="BQ90" s="112"/>
      <c r="BR90" s="112"/>
      <c r="BS90" s="112"/>
      <c r="BT90" s="112"/>
      <c r="BU90" s="112"/>
      <c r="BV90" s="112"/>
      <c r="BW90" s="112"/>
      <c r="BX90" s="112"/>
      <c r="BY90" s="112"/>
      <c r="BZ90" s="112"/>
      <c r="CA90" s="112"/>
      <c r="CB90" s="112"/>
      <c r="CC90" s="112"/>
      <c r="CD90" s="112"/>
      <c r="CE90" s="112"/>
      <c r="CF90" s="112"/>
      <c r="CG90" s="112"/>
      <c r="CH90" s="112"/>
      <c r="CI90" s="112"/>
      <c r="CJ90" s="112"/>
      <c r="CK90" s="112"/>
      <c r="CL90" s="112"/>
      <c r="CM90" s="112"/>
      <c r="CN90" s="112"/>
      <c r="CO90" s="112"/>
      <c r="CP90" s="112"/>
      <c r="CQ90" s="112"/>
      <c r="CR90" s="112"/>
      <c r="CS90" s="112"/>
      <c r="CT90" s="112"/>
      <c r="CU90" s="112"/>
      <c r="CV90" s="112"/>
      <c r="CW90" s="112"/>
      <c r="CX90" s="112"/>
      <c r="CY90" s="112"/>
      <c r="CZ90" s="112"/>
      <c r="DA90" s="112"/>
      <c r="DB90" s="112"/>
      <c r="DC90" s="112"/>
      <c r="DD90" s="112"/>
      <c r="DE90" s="112"/>
      <c r="DF90" s="112"/>
      <c r="DG90" s="112"/>
      <c r="DH90" s="112"/>
      <c r="DI90" s="112"/>
      <c r="DJ90" s="112"/>
      <c r="DK90" s="112"/>
      <c r="DL90" s="112"/>
      <c r="DM90" s="112"/>
      <c r="DN90" s="112"/>
      <c r="DO90" s="112"/>
      <c r="DP90" s="112"/>
      <c r="DQ90" s="112"/>
      <c r="DR90" s="112"/>
      <c r="DS90" s="112"/>
      <c r="DT90" s="112"/>
      <c r="DU90" s="112"/>
      <c r="DV90" s="112"/>
      <c r="DW90" s="112"/>
      <c r="DX90" s="112"/>
      <c r="DY90" s="112"/>
      <c r="DZ90" s="112"/>
      <c r="EA90" s="112"/>
      <c r="EB90" s="112"/>
      <c r="EC90" s="112"/>
      <c r="ED90" s="112"/>
      <c r="EE90" s="112"/>
      <c r="EF90" s="112"/>
      <c r="EG90" s="112"/>
      <c r="EH90" s="112"/>
      <c r="EI90" s="112"/>
      <c r="EJ90" s="112"/>
      <c r="EK90" s="112"/>
      <c r="EL90" s="112"/>
      <c r="EM90" s="112"/>
      <c r="EN90" s="112"/>
      <c r="EO90" s="112"/>
      <c r="EP90" s="112"/>
      <c r="EQ90" s="112"/>
      <c r="ER90" s="112"/>
      <c r="ES90" s="112"/>
      <c r="ET90" s="112"/>
      <c r="EU90" s="112"/>
      <c r="EV90" s="112"/>
      <c r="EW90" s="112"/>
      <c r="EX90" s="112"/>
      <c r="EY90" s="112"/>
      <c r="EZ90" s="112"/>
      <c r="FA90" s="112"/>
      <c r="FB90" s="112"/>
      <c r="FC90" s="112"/>
      <c r="FD90" s="112"/>
      <c r="FE90" s="112"/>
      <c r="FF90" s="112"/>
      <c r="FG90" s="112"/>
      <c r="FH90" s="112"/>
      <c r="FI90" s="112"/>
      <c r="FJ90" s="112"/>
      <c r="FK90" s="112"/>
      <c r="FL90" s="112"/>
      <c r="FM90" s="112"/>
      <c r="FN90" s="112"/>
      <c r="FO90" s="112"/>
      <c r="FP90" s="112"/>
      <c r="FQ90" s="112"/>
      <c r="FR90" s="112"/>
      <c r="FS90" s="112"/>
      <c r="FT90" s="112"/>
      <c r="FU90" s="112"/>
      <c r="FV90" s="112"/>
      <c r="FW90" s="112"/>
      <c r="FX90" s="112"/>
      <c r="FY90" s="112"/>
      <c r="FZ90" s="112"/>
      <c r="GA90" s="112"/>
      <c r="GB90" s="112"/>
      <c r="GC90" s="112"/>
      <c r="GD90" s="112"/>
      <c r="GE90" s="112"/>
      <c r="GF90" s="112"/>
      <c r="GG90" s="112"/>
      <c r="GH90" s="112"/>
      <c r="GI90" s="112"/>
      <c r="GJ90" s="112"/>
      <c r="GK90" s="112"/>
      <c r="GL90" s="112"/>
      <c r="GM90" s="112"/>
      <c r="GN90" s="112"/>
      <c r="GO90" s="112"/>
      <c r="GP90" s="112"/>
      <c r="GQ90" s="112"/>
      <c r="GR90" s="112"/>
      <c r="GS90" s="112"/>
      <c r="GT90" s="112"/>
      <c r="GU90" s="112"/>
      <c r="GV90" s="112"/>
      <c r="GW90" s="112"/>
      <c r="GX90" s="112"/>
      <c r="GY90" s="112"/>
      <c r="GZ90" s="112"/>
      <c r="HA90" s="112"/>
      <c r="HB90" s="112"/>
      <c r="HC90" s="112"/>
      <c r="HD90" s="112"/>
      <c r="HE90" s="112"/>
      <c r="HF90" s="112"/>
      <c r="HG90" s="112"/>
      <c r="HH90" s="112"/>
      <c r="HI90" s="112"/>
      <c r="HJ90" s="112"/>
      <c r="HK90" s="112"/>
      <c r="HL90" s="112"/>
      <c r="HM90" s="112"/>
      <c r="HN90" s="112"/>
      <c r="HO90" s="112"/>
      <c r="HP90" s="112"/>
      <c r="HQ90" s="112"/>
      <c r="HR90" s="112"/>
      <c r="HS90" s="112"/>
      <c r="HT90" s="112"/>
      <c r="HU90" s="112"/>
      <c r="HV90" s="112"/>
      <c r="HW90" s="112"/>
      <c r="HX90" s="112"/>
      <c r="HY90" s="112"/>
      <c r="HZ90" s="112"/>
      <c r="IA90" s="112"/>
      <c r="IB90" s="112"/>
      <c r="IC90" s="112"/>
      <c r="ID90" s="112"/>
      <c r="IE90" s="112"/>
      <c r="IF90" s="112"/>
      <c r="IG90" s="112"/>
      <c r="IH90" s="112"/>
      <c r="II90" s="112"/>
      <c r="IJ90" s="112"/>
      <c r="IK90" s="112"/>
      <c r="IL90" s="112"/>
      <c r="IM90" s="112"/>
      <c r="IN90" s="112"/>
      <c r="IO90" s="112"/>
      <c r="IP90" s="112"/>
      <c r="IQ90" s="112"/>
      <c r="IR90" s="112"/>
      <c r="IS90" s="112"/>
      <c r="IT90" s="112"/>
    </row>
    <row r="91" spans="1:254" s="113" customFormat="1" x14ac:dyDescent="0.2">
      <c r="A91" s="60"/>
      <c r="B91" s="110"/>
      <c r="C91" s="111"/>
      <c r="D91" s="63"/>
      <c r="E91" s="112"/>
      <c r="F91" s="112"/>
      <c r="G91" s="112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R91" s="112"/>
      <c r="AS91" s="112"/>
      <c r="AT91" s="112"/>
      <c r="AU91" s="112"/>
      <c r="AV91" s="112"/>
      <c r="AW91" s="112"/>
      <c r="AX91" s="112"/>
      <c r="AY91" s="112"/>
      <c r="AZ91" s="112"/>
      <c r="BA91" s="112"/>
      <c r="BB91" s="112"/>
      <c r="BC91" s="112"/>
      <c r="BD91" s="112"/>
      <c r="BE91" s="112"/>
      <c r="BF91" s="112"/>
      <c r="BG91" s="112"/>
      <c r="BH91" s="112"/>
      <c r="BI91" s="112"/>
      <c r="BJ91" s="112"/>
      <c r="BK91" s="112"/>
      <c r="BL91" s="112"/>
      <c r="BM91" s="112"/>
      <c r="BN91" s="112"/>
      <c r="BO91" s="112"/>
      <c r="BP91" s="112"/>
      <c r="BQ91" s="112"/>
      <c r="BR91" s="112"/>
      <c r="BS91" s="112"/>
      <c r="BT91" s="112"/>
      <c r="BU91" s="112"/>
      <c r="BV91" s="112"/>
      <c r="BW91" s="112"/>
      <c r="BX91" s="112"/>
      <c r="BY91" s="112"/>
      <c r="BZ91" s="112"/>
      <c r="CA91" s="112"/>
      <c r="CB91" s="112"/>
      <c r="CC91" s="112"/>
      <c r="CD91" s="112"/>
      <c r="CE91" s="112"/>
      <c r="CF91" s="112"/>
      <c r="CG91" s="112"/>
      <c r="CH91" s="112"/>
      <c r="CI91" s="112"/>
      <c r="CJ91" s="112"/>
      <c r="CK91" s="112"/>
      <c r="CL91" s="112"/>
      <c r="CM91" s="112"/>
      <c r="CN91" s="112"/>
      <c r="CO91" s="112"/>
      <c r="CP91" s="112"/>
      <c r="CQ91" s="112"/>
      <c r="CR91" s="112"/>
      <c r="CS91" s="112"/>
      <c r="CT91" s="112"/>
      <c r="CU91" s="112"/>
      <c r="CV91" s="112"/>
      <c r="CW91" s="112"/>
      <c r="CX91" s="112"/>
      <c r="CY91" s="112"/>
      <c r="CZ91" s="112"/>
      <c r="DA91" s="112"/>
      <c r="DB91" s="112"/>
      <c r="DC91" s="112"/>
      <c r="DD91" s="112"/>
      <c r="DE91" s="112"/>
      <c r="DF91" s="112"/>
      <c r="DG91" s="112"/>
      <c r="DH91" s="112"/>
      <c r="DI91" s="112"/>
      <c r="DJ91" s="112"/>
      <c r="DK91" s="112"/>
      <c r="DL91" s="112"/>
      <c r="DM91" s="112"/>
      <c r="DN91" s="112"/>
      <c r="DO91" s="112"/>
      <c r="DP91" s="112"/>
      <c r="DQ91" s="112"/>
      <c r="DR91" s="112"/>
      <c r="DS91" s="112"/>
      <c r="DT91" s="112"/>
      <c r="DU91" s="112"/>
      <c r="DV91" s="112"/>
      <c r="DW91" s="112"/>
      <c r="DX91" s="112"/>
      <c r="DY91" s="112"/>
      <c r="DZ91" s="112"/>
      <c r="EA91" s="112"/>
      <c r="EB91" s="112"/>
      <c r="EC91" s="112"/>
      <c r="ED91" s="112"/>
      <c r="EE91" s="112"/>
      <c r="EF91" s="112"/>
      <c r="EG91" s="112"/>
      <c r="EH91" s="112"/>
      <c r="EI91" s="112"/>
      <c r="EJ91" s="112"/>
      <c r="EK91" s="112"/>
      <c r="EL91" s="112"/>
      <c r="EM91" s="112"/>
      <c r="EN91" s="112"/>
      <c r="EO91" s="112"/>
      <c r="EP91" s="112"/>
      <c r="EQ91" s="112"/>
      <c r="ER91" s="112"/>
      <c r="ES91" s="112"/>
      <c r="ET91" s="112"/>
      <c r="EU91" s="112"/>
      <c r="EV91" s="112"/>
      <c r="EW91" s="112"/>
      <c r="EX91" s="112"/>
      <c r="EY91" s="112"/>
      <c r="EZ91" s="112"/>
      <c r="FA91" s="112"/>
      <c r="FB91" s="112"/>
      <c r="FC91" s="112"/>
      <c r="FD91" s="112"/>
      <c r="FE91" s="112"/>
      <c r="FF91" s="112"/>
      <c r="FG91" s="112"/>
      <c r="FH91" s="112"/>
      <c r="FI91" s="112"/>
      <c r="FJ91" s="112"/>
      <c r="FK91" s="112"/>
      <c r="FL91" s="112"/>
      <c r="FM91" s="112"/>
      <c r="FN91" s="112"/>
      <c r="FO91" s="112"/>
      <c r="FP91" s="112"/>
      <c r="FQ91" s="112"/>
      <c r="FR91" s="112"/>
      <c r="FS91" s="112"/>
      <c r="FT91" s="112"/>
      <c r="FU91" s="112"/>
      <c r="FV91" s="112"/>
      <c r="FW91" s="112"/>
      <c r="FX91" s="112"/>
      <c r="FY91" s="112"/>
      <c r="FZ91" s="112"/>
      <c r="GA91" s="112"/>
      <c r="GB91" s="112"/>
      <c r="GC91" s="112"/>
      <c r="GD91" s="112"/>
      <c r="GE91" s="112"/>
      <c r="GF91" s="112"/>
      <c r="GG91" s="112"/>
      <c r="GH91" s="112"/>
      <c r="GI91" s="112"/>
      <c r="GJ91" s="112"/>
      <c r="GK91" s="112"/>
      <c r="GL91" s="112"/>
      <c r="GM91" s="112"/>
      <c r="GN91" s="112"/>
      <c r="GO91" s="112"/>
      <c r="GP91" s="112"/>
      <c r="GQ91" s="112"/>
      <c r="GR91" s="112"/>
      <c r="GS91" s="112"/>
      <c r="GT91" s="112"/>
      <c r="GU91" s="112"/>
      <c r="GV91" s="112"/>
      <c r="GW91" s="112"/>
      <c r="GX91" s="112"/>
      <c r="GY91" s="112"/>
      <c r="GZ91" s="112"/>
      <c r="HA91" s="112"/>
      <c r="HB91" s="112"/>
      <c r="HC91" s="112"/>
      <c r="HD91" s="112"/>
      <c r="HE91" s="112"/>
      <c r="HF91" s="112"/>
      <c r="HG91" s="112"/>
      <c r="HH91" s="112"/>
      <c r="HI91" s="112"/>
      <c r="HJ91" s="112"/>
      <c r="HK91" s="112"/>
      <c r="HL91" s="112"/>
      <c r="HM91" s="112"/>
      <c r="HN91" s="112"/>
      <c r="HO91" s="112"/>
      <c r="HP91" s="112"/>
      <c r="HQ91" s="112"/>
      <c r="HR91" s="112"/>
      <c r="HS91" s="112"/>
      <c r="HT91" s="112"/>
      <c r="HU91" s="112"/>
      <c r="HV91" s="112"/>
      <c r="HW91" s="112"/>
      <c r="HX91" s="112"/>
      <c r="HY91" s="112"/>
      <c r="HZ91" s="112"/>
      <c r="IA91" s="112"/>
      <c r="IB91" s="112"/>
      <c r="IC91" s="112"/>
      <c r="ID91" s="112"/>
      <c r="IE91" s="112"/>
      <c r="IF91" s="112"/>
      <c r="IG91" s="112"/>
      <c r="IH91" s="112"/>
      <c r="II91" s="112"/>
      <c r="IJ91" s="112"/>
      <c r="IK91" s="112"/>
      <c r="IL91" s="112"/>
      <c r="IM91" s="112"/>
      <c r="IN91" s="112"/>
      <c r="IO91" s="112"/>
      <c r="IP91" s="112"/>
      <c r="IQ91" s="112"/>
      <c r="IR91" s="112"/>
      <c r="IS91" s="112"/>
      <c r="IT91" s="112"/>
    </row>
    <row r="92" spans="1:254" s="113" customFormat="1" x14ac:dyDescent="0.2">
      <c r="A92" s="60"/>
      <c r="B92" s="110"/>
      <c r="C92" s="111"/>
      <c r="D92" s="63"/>
      <c r="E92" s="112"/>
      <c r="F92" s="112"/>
      <c r="G92" s="112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R92" s="112"/>
      <c r="AS92" s="112"/>
      <c r="AT92" s="112"/>
      <c r="AU92" s="112"/>
      <c r="AV92" s="112"/>
      <c r="AW92" s="112"/>
      <c r="AX92" s="112"/>
      <c r="AY92" s="112"/>
      <c r="AZ92" s="112"/>
      <c r="BA92" s="112"/>
      <c r="BB92" s="112"/>
      <c r="BC92" s="112"/>
      <c r="BD92" s="112"/>
      <c r="BE92" s="112"/>
      <c r="BF92" s="112"/>
      <c r="BG92" s="112"/>
      <c r="BH92" s="112"/>
      <c r="BI92" s="112"/>
      <c r="BJ92" s="112"/>
      <c r="BK92" s="112"/>
      <c r="BL92" s="112"/>
      <c r="BM92" s="112"/>
      <c r="BN92" s="112"/>
      <c r="BO92" s="112"/>
      <c r="BP92" s="112"/>
      <c r="BQ92" s="112"/>
      <c r="BR92" s="112"/>
      <c r="BS92" s="112"/>
      <c r="BT92" s="112"/>
      <c r="BU92" s="112"/>
      <c r="BV92" s="112"/>
      <c r="BW92" s="112"/>
      <c r="BX92" s="112"/>
      <c r="BY92" s="112"/>
      <c r="BZ92" s="112"/>
      <c r="CA92" s="112"/>
      <c r="CB92" s="112"/>
      <c r="CC92" s="112"/>
      <c r="CD92" s="112"/>
      <c r="CE92" s="112"/>
      <c r="CF92" s="112"/>
      <c r="CG92" s="112"/>
      <c r="CH92" s="112"/>
      <c r="CI92" s="112"/>
      <c r="CJ92" s="112"/>
      <c r="CK92" s="112"/>
      <c r="CL92" s="112"/>
      <c r="CM92" s="112"/>
      <c r="CN92" s="112"/>
      <c r="CO92" s="112"/>
      <c r="CP92" s="112"/>
      <c r="CQ92" s="112"/>
      <c r="CR92" s="112"/>
      <c r="CS92" s="112"/>
      <c r="CT92" s="112"/>
      <c r="CU92" s="112"/>
      <c r="CV92" s="112"/>
      <c r="CW92" s="112"/>
      <c r="CX92" s="112"/>
      <c r="CY92" s="112"/>
      <c r="CZ92" s="112"/>
      <c r="DA92" s="112"/>
      <c r="DB92" s="112"/>
      <c r="DC92" s="112"/>
      <c r="DD92" s="112"/>
      <c r="DE92" s="112"/>
      <c r="DF92" s="112"/>
      <c r="DG92" s="112"/>
      <c r="DH92" s="112"/>
      <c r="DI92" s="112"/>
      <c r="DJ92" s="112"/>
      <c r="DK92" s="112"/>
      <c r="DL92" s="112"/>
      <c r="DM92" s="112"/>
      <c r="DN92" s="112"/>
      <c r="DO92" s="112"/>
      <c r="DP92" s="112"/>
      <c r="DQ92" s="112"/>
      <c r="DR92" s="112"/>
      <c r="DS92" s="112"/>
      <c r="DT92" s="112"/>
      <c r="DU92" s="112"/>
      <c r="DV92" s="112"/>
      <c r="DW92" s="112"/>
      <c r="DX92" s="112"/>
      <c r="DY92" s="112"/>
      <c r="DZ92" s="112"/>
      <c r="EA92" s="112"/>
      <c r="EB92" s="112"/>
      <c r="EC92" s="112"/>
      <c r="ED92" s="112"/>
      <c r="EE92" s="112"/>
      <c r="EF92" s="112"/>
      <c r="EG92" s="112"/>
      <c r="EH92" s="112"/>
      <c r="EI92" s="112"/>
      <c r="EJ92" s="112"/>
      <c r="EK92" s="112"/>
      <c r="EL92" s="112"/>
      <c r="EM92" s="112"/>
      <c r="EN92" s="112"/>
      <c r="EO92" s="112"/>
      <c r="EP92" s="112"/>
      <c r="EQ92" s="112"/>
      <c r="ER92" s="112"/>
      <c r="ES92" s="112"/>
      <c r="ET92" s="112"/>
      <c r="EU92" s="112"/>
      <c r="EV92" s="112"/>
      <c r="EW92" s="112"/>
      <c r="EX92" s="112"/>
      <c r="EY92" s="112"/>
      <c r="EZ92" s="112"/>
      <c r="FA92" s="112"/>
      <c r="FB92" s="112"/>
      <c r="FC92" s="112"/>
      <c r="FD92" s="112"/>
      <c r="FE92" s="112"/>
      <c r="FF92" s="112"/>
      <c r="FG92" s="112"/>
      <c r="FH92" s="112"/>
      <c r="FI92" s="112"/>
      <c r="FJ92" s="112"/>
      <c r="FK92" s="112"/>
      <c r="FL92" s="112"/>
      <c r="FM92" s="112"/>
      <c r="FN92" s="112"/>
      <c r="FO92" s="112"/>
      <c r="FP92" s="112"/>
      <c r="FQ92" s="112"/>
      <c r="FR92" s="112"/>
      <c r="FS92" s="112"/>
      <c r="FT92" s="112"/>
      <c r="FU92" s="112"/>
      <c r="FV92" s="112"/>
      <c r="FW92" s="112"/>
      <c r="FX92" s="112"/>
      <c r="FY92" s="112"/>
      <c r="FZ92" s="112"/>
      <c r="GA92" s="112"/>
      <c r="GB92" s="112"/>
      <c r="GC92" s="112"/>
      <c r="GD92" s="112"/>
      <c r="GE92" s="112"/>
      <c r="GF92" s="112"/>
      <c r="GG92" s="112"/>
      <c r="GH92" s="112"/>
      <c r="GI92" s="112"/>
      <c r="GJ92" s="112"/>
      <c r="GK92" s="112"/>
      <c r="GL92" s="112"/>
      <c r="GM92" s="112"/>
      <c r="GN92" s="112"/>
      <c r="GO92" s="112"/>
      <c r="GP92" s="112"/>
      <c r="GQ92" s="112"/>
      <c r="GR92" s="112"/>
      <c r="GS92" s="112"/>
      <c r="GT92" s="112"/>
      <c r="GU92" s="112"/>
      <c r="GV92" s="112"/>
      <c r="GW92" s="112"/>
      <c r="GX92" s="112"/>
      <c r="GY92" s="112"/>
      <c r="GZ92" s="112"/>
      <c r="HA92" s="112"/>
      <c r="HB92" s="112"/>
      <c r="HC92" s="112"/>
      <c r="HD92" s="112"/>
      <c r="HE92" s="112"/>
      <c r="HF92" s="112"/>
      <c r="HG92" s="112"/>
      <c r="HH92" s="112"/>
      <c r="HI92" s="112"/>
      <c r="HJ92" s="112"/>
      <c r="HK92" s="112"/>
      <c r="HL92" s="112"/>
      <c r="HM92" s="112"/>
      <c r="HN92" s="112"/>
      <c r="HO92" s="112"/>
      <c r="HP92" s="112"/>
      <c r="HQ92" s="112"/>
      <c r="HR92" s="112"/>
      <c r="HS92" s="112"/>
      <c r="HT92" s="112"/>
      <c r="HU92" s="112"/>
      <c r="HV92" s="112"/>
      <c r="HW92" s="112"/>
      <c r="HX92" s="112"/>
      <c r="HY92" s="112"/>
      <c r="HZ92" s="112"/>
      <c r="IA92" s="112"/>
      <c r="IB92" s="112"/>
      <c r="IC92" s="112"/>
      <c r="ID92" s="112"/>
      <c r="IE92" s="112"/>
      <c r="IF92" s="112"/>
      <c r="IG92" s="112"/>
      <c r="IH92" s="112"/>
      <c r="II92" s="112"/>
      <c r="IJ92" s="112"/>
      <c r="IK92" s="112"/>
      <c r="IL92" s="112"/>
      <c r="IM92" s="112"/>
      <c r="IN92" s="112"/>
      <c r="IO92" s="112"/>
      <c r="IP92" s="112"/>
      <c r="IQ92" s="112"/>
      <c r="IR92" s="112"/>
      <c r="IS92" s="112"/>
      <c r="IT92" s="112"/>
    </row>
    <row r="93" spans="1:254" s="113" customFormat="1" x14ac:dyDescent="0.2">
      <c r="A93" s="60"/>
      <c r="B93" s="110"/>
      <c r="C93" s="111"/>
      <c r="D93" s="63"/>
      <c r="E93" s="112"/>
      <c r="F93" s="112"/>
      <c r="G93" s="112"/>
      <c r="H93" s="112"/>
      <c r="I93" s="112"/>
      <c r="J93" s="112"/>
      <c r="K93" s="112"/>
      <c r="L93" s="112"/>
      <c r="M93" s="112"/>
      <c r="N93" s="112"/>
      <c r="O93" s="112"/>
      <c r="P93" s="112"/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K93" s="112"/>
      <c r="AL93" s="112"/>
      <c r="AM93" s="112"/>
      <c r="AN93" s="112"/>
      <c r="AO93" s="112"/>
      <c r="AP93" s="112"/>
      <c r="AQ93" s="112"/>
      <c r="AR93" s="112"/>
      <c r="AS93" s="112"/>
      <c r="AT93" s="112"/>
      <c r="AU93" s="112"/>
      <c r="AV93" s="112"/>
      <c r="AW93" s="112"/>
      <c r="AX93" s="112"/>
      <c r="AY93" s="112"/>
      <c r="AZ93" s="112"/>
      <c r="BA93" s="112"/>
      <c r="BB93" s="112"/>
      <c r="BC93" s="112"/>
      <c r="BD93" s="112"/>
      <c r="BE93" s="112"/>
      <c r="BF93" s="112"/>
      <c r="BG93" s="112"/>
      <c r="BH93" s="112"/>
      <c r="BI93" s="112"/>
      <c r="BJ93" s="112"/>
      <c r="BK93" s="112"/>
      <c r="BL93" s="112"/>
      <c r="BM93" s="112"/>
      <c r="BN93" s="112"/>
      <c r="BO93" s="112"/>
      <c r="BP93" s="112"/>
      <c r="BQ93" s="112"/>
      <c r="BR93" s="112"/>
      <c r="BS93" s="112"/>
      <c r="BT93" s="112"/>
      <c r="BU93" s="112"/>
      <c r="BV93" s="112"/>
      <c r="BW93" s="112"/>
      <c r="BX93" s="112"/>
      <c r="BY93" s="112"/>
      <c r="BZ93" s="112"/>
      <c r="CA93" s="112"/>
      <c r="CB93" s="112"/>
      <c r="CC93" s="112"/>
      <c r="CD93" s="112"/>
      <c r="CE93" s="112"/>
      <c r="CF93" s="112"/>
      <c r="CG93" s="112"/>
      <c r="CH93" s="112"/>
      <c r="CI93" s="112"/>
      <c r="CJ93" s="112"/>
      <c r="CK93" s="112"/>
      <c r="CL93" s="112"/>
      <c r="CM93" s="112"/>
      <c r="CN93" s="112"/>
      <c r="CO93" s="112"/>
      <c r="CP93" s="112"/>
      <c r="CQ93" s="112"/>
      <c r="CR93" s="112"/>
      <c r="CS93" s="112"/>
      <c r="CT93" s="112"/>
      <c r="CU93" s="112"/>
      <c r="CV93" s="112"/>
      <c r="CW93" s="112"/>
      <c r="CX93" s="112"/>
      <c r="CY93" s="112"/>
      <c r="CZ93" s="112"/>
      <c r="DA93" s="112"/>
      <c r="DB93" s="112"/>
      <c r="DC93" s="112"/>
      <c r="DD93" s="112"/>
      <c r="DE93" s="112"/>
      <c r="DF93" s="112"/>
      <c r="DG93" s="112"/>
      <c r="DH93" s="112"/>
      <c r="DI93" s="112"/>
      <c r="DJ93" s="112"/>
      <c r="DK93" s="112"/>
      <c r="DL93" s="112"/>
      <c r="DM93" s="112"/>
      <c r="DN93" s="112"/>
      <c r="DO93" s="112"/>
      <c r="DP93" s="112"/>
      <c r="DQ93" s="112"/>
      <c r="DR93" s="112"/>
      <c r="DS93" s="112"/>
      <c r="DT93" s="112"/>
      <c r="DU93" s="112"/>
      <c r="DV93" s="112"/>
      <c r="DW93" s="112"/>
      <c r="DX93" s="112"/>
      <c r="DY93" s="112"/>
      <c r="DZ93" s="112"/>
      <c r="EA93" s="112"/>
      <c r="EB93" s="112"/>
      <c r="EC93" s="112"/>
      <c r="ED93" s="112"/>
      <c r="EE93" s="112"/>
      <c r="EF93" s="112"/>
      <c r="EG93" s="112"/>
      <c r="EH93" s="112"/>
      <c r="EI93" s="112"/>
      <c r="EJ93" s="112"/>
      <c r="EK93" s="112"/>
      <c r="EL93" s="112"/>
      <c r="EM93" s="112"/>
      <c r="EN93" s="112"/>
      <c r="EO93" s="112"/>
      <c r="EP93" s="112"/>
      <c r="EQ93" s="112"/>
      <c r="ER93" s="112"/>
      <c r="ES93" s="112"/>
      <c r="ET93" s="112"/>
      <c r="EU93" s="112"/>
      <c r="EV93" s="112"/>
      <c r="EW93" s="112"/>
      <c r="EX93" s="112"/>
      <c r="EY93" s="112"/>
      <c r="EZ93" s="112"/>
      <c r="FA93" s="112"/>
      <c r="FB93" s="112"/>
      <c r="FC93" s="112"/>
      <c r="FD93" s="112"/>
      <c r="FE93" s="112"/>
      <c r="FF93" s="112"/>
      <c r="FG93" s="112"/>
      <c r="FH93" s="112"/>
      <c r="FI93" s="112"/>
      <c r="FJ93" s="112"/>
      <c r="FK93" s="112"/>
      <c r="FL93" s="112"/>
      <c r="FM93" s="112"/>
      <c r="FN93" s="112"/>
      <c r="FO93" s="112"/>
      <c r="FP93" s="112"/>
      <c r="FQ93" s="112"/>
      <c r="FR93" s="112"/>
      <c r="FS93" s="112"/>
      <c r="FT93" s="112"/>
      <c r="FU93" s="112"/>
      <c r="FV93" s="112"/>
      <c r="FW93" s="112"/>
      <c r="FX93" s="112"/>
      <c r="FY93" s="112"/>
      <c r="FZ93" s="112"/>
      <c r="GA93" s="112"/>
      <c r="GB93" s="112"/>
      <c r="GC93" s="112"/>
      <c r="GD93" s="112"/>
      <c r="GE93" s="112"/>
      <c r="GF93" s="112"/>
      <c r="GG93" s="112"/>
      <c r="GH93" s="112"/>
      <c r="GI93" s="112"/>
      <c r="GJ93" s="112"/>
      <c r="GK93" s="112"/>
      <c r="GL93" s="112"/>
      <c r="GM93" s="112"/>
      <c r="GN93" s="112"/>
      <c r="GO93" s="112"/>
      <c r="GP93" s="112"/>
      <c r="GQ93" s="112"/>
      <c r="GR93" s="112"/>
      <c r="GS93" s="112"/>
      <c r="GT93" s="112"/>
      <c r="GU93" s="112"/>
      <c r="GV93" s="112"/>
      <c r="GW93" s="112"/>
      <c r="GX93" s="112"/>
      <c r="GY93" s="112"/>
      <c r="GZ93" s="112"/>
      <c r="HA93" s="112"/>
      <c r="HB93" s="112"/>
      <c r="HC93" s="112"/>
      <c r="HD93" s="112"/>
      <c r="HE93" s="112"/>
      <c r="HF93" s="112"/>
      <c r="HG93" s="112"/>
      <c r="HH93" s="112"/>
      <c r="HI93" s="112"/>
      <c r="HJ93" s="112"/>
      <c r="HK93" s="112"/>
      <c r="HL93" s="112"/>
      <c r="HM93" s="112"/>
      <c r="HN93" s="112"/>
      <c r="HO93" s="112"/>
      <c r="HP93" s="112"/>
      <c r="HQ93" s="112"/>
      <c r="HR93" s="112"/>
      <c r="HS93" s="112"/>
      <c r="HT93" s="112"/>
      <c r="HU93" s="112"/>
      <c r="HV93" s="112"/>
      <c r="HW93" s="112"/>
      <c r="HX93" s="112"/>
      <c r="HY93" s="112"/>
      <c r="HZ93" s="112"/>
      <c r="IA93" s="112"/>
      <c r="IB93" s="112"/>
      <c r="IC93" s="112"/>
      <c r="ID93" s="112"/>
      <c r="IE93" s="112"/>
      <c r="IF93" s="112"/>
      <c r="IG93" s="112"/>
      <c r="IH93" s="112"/>
      <c r="II93" s="112"/>
      <c r="IJ93" s="112"/>
      <c r="IK93" s="112"/>
      <c r="IL93" s="112"/>
      <c r="IM93" s="112"/>
      <c r="IN93" s="112"/>
      <c r="IO93" s="112"/>
      <c r="IP93" s="112"/>
      <c r="IQ93" s="112"/>
      <c r="IR93" s="112"/>
      <c r="IS93" s="112"/>
      <c r="IT93" s="112"/>
    </row>
    <row r="94" spans="1:254" x14ac:dyDescent="0.2">
      <c r="G94" s="112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</sheetData>
  <mergeCells count="1">
    <mergeCell ref="B9:C9"/>
  </mergeCells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T94"/>
  <sheetViews>
    <sheetView showGridLines="0" tabSelected="1" workbookViewId="0">
      <pane ySplit="7" topLeftCell="A8" activePane="bottomLeft" state="frozen"/>
      <selection pane="bottomLeft" activeCell="A8" sqref="A8"/>
    </sheetView>
  </sheetViews>
  <sheetFormatPr defaultRowHeight="12.75" x14ac:dyDescent="0.2"/>
  <cols>
    <col min="1" max="1" width="9.140625" style="10"/>
    <col min="2" max="2" width="21.140625" style="10" bestFit="1" customWidth="1"/>
    <col min="3" max="3" width="14" style="10" customWidth="1"/>
    <col min="4" max="4" width="11.85546875" style="10" customWidth="1"/>
    <col min="5" max="5" width="11.42578125" style="10" customWidth="1"/>
    <col min="6" max="6" width="9.140625" style="10"/>
    <col min="7" max="7" width="22.5703125" style="10" bestFit="1" customWidth="1"/>
    <col min="8" max="8" width="9.28515625" style="10" customWidth="1"/>
    <col min="9" max="9" width="11.140625" style="10" customWidth="1"/>
    <col min="10" max="10" width="10.85546875" style="10" customWidth="1"/>
    <col min="11" max="11" width="9.140625" style="10"/>
    <col min="12" max="51" width="22" style="10" bestFit="1" customWidth="1"/>
    <col min="52" max="16384" width="9.140625" style="10"/>
  </cols>
  <sheetData>
    <row r="1" spans="2:5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5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5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5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35"/>
      <c r="M4" s="1"/>
      <c r="N4" s="1"/>
      <c r="O4" s="1"/>
    </row>
    <row r="5" spans="2:51" x14ac:dyDescent="0.2">
      <c r="B5" s="1"/>
      <c r="C5" s="1"/>
      <c r="D5" s="1"/>
      <c r="E5" s="1"/>
      <c r="F5" s="1"/>
      <c r="G5" s="1"/>
      <c r="H5" s="1"/>
      <c r="I5" s="1"/>
      <c r="J5" s="36"/>
      <c r="K5" s="1"/>
      <c r="L5" s="35"/>
      <c r="M5" s="1"/>
      <c r="N5" s="1"/>
      <c r="O5" s="1"/>
    </row>
    <row r="6" spans="2:51" x14ac:dyDescent="0.2">
      <c r="B6" s="1"/>
      <c r="C6" s="1"/>
      <c r="D6" s="1"/>
      <c r="E6" s="1"/>
      <c r="F6" s="1"/>
      <c r="G6" s="1"/>
      <c r="H6" s="1"/>
      <c r="I6" s="1"/>
      <c r="J6" s="37"/>
      <c r="K6" s="1"/>
      <c r="L6" s="1"/>
      <c r="M6" s="1"/>
      <c r="N6" s="1"/>
      <c r="O6" s="1"/>
    </row>
    <row r="7" spans="2:51" x14ac:dyDescent="0.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2:51" ht="13.5" thickBot="1" x14ac:dyDescent="0.25">
      <c r="L8" s="44" t="s">
        <v>12</v>
      </c>
    </row>
    <row r="9" spans="2:51" ht="13.5" thickBot="1" x14ac:dyDescent="0.25">
      <c r="B9" s="57" t="s">
        <v>0</v>
      </c>
      <c r="C9" s="58"/>
      <c r="E9" s="34"/>
      <c r="F9" s="32" t="s">
        <v>11</v>
      </c>
      <c r="G9" s="32" t="s">
        <v>7</v>
      </c>
      <c r="H9" s="33" t="s">
        <v>8</v>
      </c>
      <c r="I9" s="40" t="s">
        <v>9</v>
      </c>
      <c r="J9" s="31" t="s">
        <v>10</v>
      </c>
      <c r="L9" s="30">
        <v>0.25</v>
      </c>
      <c r="M9" s="30">
        <v>0.5</v>
      </c>
      <c r="N9" s="30">
        <v>0.75</v>
      </c>
      <c r="O9" s="30">
        <v>1</v>
      </c>
      <c r="P9" s="30">
        <v>1.25</v>
      </c>
      <c r="Q9" s="30">
        <v>1.5</v>
      </c>
      <c r="R9" s="30">
        <v>1.75</v>
      </c>
      <c r="S9" s="30">
        <v>2</v>
      </c>
      <c r="T9" s="30">
        <v>2.25</v>
      </c>
      <c r="U9" s="30">
        <v>2.5</v>
      </c>
      <c r="V9" s="30">
        <v>2.75</v>
      </c>
      <c r="W9" s="30">
        <v>3</v>
      </c>
      <c r="X9" s="30">
        <v>3.25</v>
      </c>
      <c r="Y9" s="30">
        <v>3.5</v>
      </c>
      <c r="Z9" s="30">
        <v>3.75</v>
      </c>
      <c r="AA9" s="30">
        <v>4</v>
      </c>
      <c r="AB9" s="30">
        <v>4.25</v>
      </c>
      <c r="AC9" s="30">
        <v>4.5</v>
      </c>
      <c r="AD9" s="30">
        <v>4.75</v>
      </c>
      <c r="AE9" s="30">
        <v>5</v>
      </c>
      <c r="AF9" s="30">
        <v>5.25</v>
      </c>
      <c r="AG9" s="30">
        <v>5.5</v>
      </c>
      <c r="AH9" s="30">
        <v>5.75</v>
      </c>
      <c r="AI9" s="30">
        <v>6</v>
      </c>
      <c r="AJ9" s="30">
        <v>6.25</v>
      </c>
      <c r="AK9" s="30">
        <v>6.5</v>
      </c>
      <c r="AL9" s="30">
        <v>6.75</v>
      </c>
      <c r="AM9" s="30">
        <v>7</v>
      </c>
      <c r="AN9" s="30">
        <v>7.25</v>
      </c>
      <c r="AO9" s="30">
        <v>7.5</v>
      </c>
      <c r="AP9" s="30">
        <v>7.75</v>
      </c>
      <c r="AQ9" s="30">
        <v>8</v>
      </c>
      <c r="AR9" s="30">
        <v>8.25</v>
      </c>
      <c r="AS9" s="30">
        <v>8.5</v>
      </c>
      <c r="AT9" s="30">
        <v>8.75</v>
      </c>
      <c r="AU9" s="30">
        <v>9</v>
      </c>
      <c r="AV9" s="30">
        <v>9.25</v>
      </c>
      <c r="AW9" s="30">
        <v>9.5</v>
      </c>
      <c r="AX9" s="30">
        <v>9.75</v>
      </c>
      <c r="AY9" s="30">
        <v>10</v>
      </c>
    </row>
    <row r="10" spans="2:51" x14ac:dyDescent="0.2">
      <c r="B10" s="29" t="s">
        <v>2</v>
      </c>
      <c r="C10" s="28">
        <v>0.05</v>
      </c>
      <c r="E10" s="22">
        <v>0</v>
      </c>
      <c r="F10" s="21">
        <v>0</v>
      </c>
      <c r="G10" s="4">
        <f ca="1">IR0</f>
        <v>0.05</v>
      </c>
      <c r="H10" s="20">
        <f t="shared" ref="H10:H49" ca="1" si="0">SwapRate*SUM(OFFSET(L10,0,0,1,40-E10))*0.25</f>
        <v>0.39186576790815386</v>
      </c>
      <c r="I10" s="41">
        <f t="shared" ref="I10:I49" ca="1" si="1">1-OFFSET(L10,0,40-E10-1,1,1)</f>
        <v>0.3883502339405196</v>
      </c>
      <c r="J10" s="42">
        <f t="shared" ref="J10:J50" ca="1" si="2">H10-I10</f>
        <v>3.5155339676342656E-3</v>
      </c>
      <c r="K10" s="18"/>
      <c r="L10" s="46">
        <f t="shared" ref="L10:AY10" si="3">L$50*EXP(-L$51*$G10)</f>
        <v>0.98757805290923528</v>
      </c>
      <c r="M10" s="47">
        <f t="shared" si="3"/>
        <v>0.9753118694764833</v>
      </c>
      <c r="N10" s="47">
        <f t="shared" si="3"/>
        <v>0.96320082223584724</v>
      </c>
      <c r="O10" s="47">
        <f t="shared" si="3"/>
        <v>0.95124414296525361</v>
      </c>
      <c r="P10" s="47">
        <f t="shared" si="3"/>
        <v>0.93944093625293323</v>
      </c>
      <c r="Q10" s="47">
        <f t="shared" si="3"/>
        <v>0.92779019208316249</v>
      </c>
      <c r="R10" s="47">
        <f t="shared" si="3"/>
        <v>0.91629079750321352</v>
      </c>
      <c r="S10" s="47">
        <f t="shared" si="3"/>
        <v>0.90494154743016431</v>
      </c>
      <c r="T10" s="47">
        <f t="shared" si="3"/>
        <v>0.89374115465303194</v>
      </c>
      <c r="U10" s="47">
        <f t="shared" si="3"/>
        <v>0.88268825908260584</v>
      </c>
      <c r="V10" s="47">
        <f t="shared" si="3"/>
        <v>0.87178143629840132</v>
      </c>
      <c r="W10" s="47">
        <f t="shared" si="3"/>
        <v>0.86101920543931054</v>
      </c>
      <c r="X10" s="47">
        <f t="shared" si="3"/>
        <v>0.85040003648180429</v>
      </c>
      <c r="Y10" s="47">
        <f t="shared" si="3"/>
        <v>0.83992235694694606</v>
      </c>
      <c r="Z10" s="47">
        <f t="shared" si="3"/>
        <v>0.82958455807500131</v>
      </c>
      <c r="AA10" s="47">
        <f t="shared" si="3"/>
        <v>0.81938500050406582</v>
      </c>
      <c r="AB10" s="47">
        <f t="shared" si="3"/>
        <v>0.80932201948690741</v>
      </c>
      <c r="AC10" s="47">
        <f t="shared" si="3"/>
        <v>0.79939392967808476</v>
      </c>
      <c r="AD10" s="47">
        <f t="shared" si="3"/>
        <v>0.78959902952140093</v>
      </c>
      <c r="AE10" s="47">
        <f t="shared" si="3"/>
        <v>0.77993560526584771</v>
      </c>
      <c r="AF10" s="47">
        <f t="shared" si="3"/>
        <v>0.77040193463639739</v>
      </c>
      <c r="AG10" s="47">
        <f t="shared" si="3"/>
        <v>0.76099629018430504</v>
      </c>
      <c r="AH10" s="47">
        <f t="shared" si="3"/>
        <v>0.75171694233998243</v>
      </c>
      <c r="AI10" s="47">
        <f t="shared" si="3"/>
        <v>0.74256216219000126</v>
      </c>
      <c r="AJ10" s="47">
        <f t="shared" si="3"/>
        <v>0.73353022399835999</v>
      </c>
      <c r="AK10" s="47">
        <f t="shared" si="3"/>
        <v>0.72461940749082265</v>
      </c>
      <c r="AL10" s="47">
        <f t="shared" si="3"/>
        <v>0.71582799991987323</v>
      </c>
      <c r="AM10" s="47">
        <f t="shared" si="3"/>
        <v>0.70715429792666429</v>
      </c>
      <c r="AN10" s="47">
        <f t="shared" si="3"/>
        <v>0.69859660921522304</v>
      </c>
      <c r="AO10" s="47">
        <f t="shared" si="3"/>
        <v>0.69015325405314776</v>
      </c>
      <c r="AP10" s="47">
        <f t="shared" si="3"/>
        <v>0.6818225666120542</v>
      </c>
      <c r="AQ10" s="47">
        <f t="shared" si="3"/>
        <v>0.67360289616011992</v>
      </c>
      <c r="AR10" s="47">
        <f t="shared" si="3"/>
        <v>0.66549260811822575</v>
      </c>
      <c r="AS10" s="47">
        <f t="shared" si="3"/>
        <v>0.65749008499038908</v>
      </c>
      <c r="AT10" s="47">
        <f t="shared" si="3"/>
        <v>0.64959372717844832</v>
      </c>
      <c r="AU10" s="47">
        <f t="shared" si="3"/>
        <v>0.64180195369024484</v>
      </c>
      <c r="AV10" s="47">
        <f t="shared" si="3"/>
        <v>0.6341132027499129</v>
      </c>
      <c r="AW10" s="47">
        <f t="shared" si="3"/>
        <v>0.62652593231826303</v>
      </c>
      <c r="AX10" s="47">
        <f t="shared" si="3"/>
        <v>0.61903862053068825</v>
      </c>
      <c r="AY10" s="48">
        <f t="shared" si="3"/>
        <v>0.6116497660594804</v>
      </c>
    </row>
    <row r="11" spans="2:51" x14ac:dyDescent="0.2">
      <c r="B11" s="22" t="s">
        <v>4</v>
      </c>
      <c r="C11" s="27">
        <v>0.1</v>
      </c>
      <c r="D11" s="4"/>
      <c r="E11" s="22">
        <f t="shared" ref="E11:E50" si="4">E10+1</f>
        <v>1</v>
      </c>
      <c r="F11" s="21">
        <f t="shared" ref="F11:F50" si="5">F10+0.25</f>
        <v>0.25</v>
      </c>
      <c r="G11" s="38">
        <f t="shared" ref="G11:G50" ca="1" si="6">(G10+MeanRev*(b_Param-G10)*0.25+NORMSINV(RAND())*SQRT(0.25)*Volatility)</f>
        <v>5.076903461729191E-2</v>
      </c>
      <c r="H11" s="20">
        <f t="shared" ca="1" si="0"/>
        <v>0.38320286345061816</v>
      </c>
      <c r="I11" s="41">
        <f t="shared" ca="1" si="1"/>
        <v>0.38391924165584612</v>
      </c>
      <c r="J11" s="42">
        <f t="shared" ca="1" si="2"/>
        <v>-7.1637820522796325E-4</v>
      </c>
      <c r="K11" s="18"/>
      <c r="L11" s="49">
        <f ca="1">L$50*EXP(-L$51*$G11)</f>
        <v>0.98739055400818676</v>
      </c>
      <c r="M11" s="20">
        <f t="shared" ref="M11:AX11" ca="1" si="7">M$50*EXP(-M$51*$G11)</f>
        <v>0.97494613505341854</v>
      </c>
      <c r="N11" s="20">
        <f t="shared" ca="1" si="7"/>
        <v>0.96266574179124997</v>
      </c>
      <c r="O11" s="20">
        <f t="shared" ca="1" si="7"/>
        <v>0.9505482455934755</v>
      </c>
      <c r="P11" s="20">
        <f t="shared" ca="1" si="7"/>
        <v>0.93859240376070852</v>
      </c>
      <c r="Q11" s="20">
        <f t="shared" ca="1" si="7"/>
        <v>0.92679687174847247</v>
      </c>
      <c r="R11" s="20">
        <f t="shared" ca="1" si="7"/>
        <v>0.91516021447096885</v>
      </c>
      <c r="S11" s="20">
        <f t="shared" ca="1" si="7"/>
        <v>0.90368091674310669</v>
      </c>
      <c r="T11" s="20">
        <f t="shared" ca="1" si="7"/>
        <v>0.89235739291794991</v>
      </c>
      <c r="U11" s="20">
        <f t="shared" ca="1" si="7"/>
        <v>0.88118799577342977</v>
      </c>
      <c r="V11" s="20">
        <f t="shared" ca="1" si="7"/>
        <v>0.87017102469901564</v>
      </c>
      <c r="W11" s="20">
        <f t="shared" ca="1" si="7"/>
        <v>0.85930473323001366</v>
      </c>
      <c r="X11" s="20">
        <f t="shared" ca="1" si="7"/>
        <v>0.84858733597428226</v>
      </c>
      <c r="Y11" s="20">
        <f t="shared" ca="1" si="7"/>
        <v>0.83801701497341619</v>
      </c>
      <c r="Z11" s="20">
        <f t="shared" ca="1" si="7"/>
        <v>0.827591925537843</v>
      </c>
      <c r="AA11" s="20">
        <f t="shared" ca="1" si="7"/>
        <v>0.81731020159281054</v>
      </c>
      <c r="AB11" s="20">
        <f t="shared" ca="1" si="7"/>
        <v>0.80716996056989965</v>
      </c>
      <c r="AC11" s="20">
        <f t="shared" ca="1" si="7"/>
        <v>0.79716930787649209</v>
      </c>
      <c r="AD11" s="20">
        <f t="shared" ca="1" si="7"/>
        <v>0.78730634097352392</v>
      </c>
      <c r="AE11" s="20">
        <f t="shared" ca="1" si="7"/>
        <v>0.77757915308989134</v>
      </c>
      <c r="AF11" s="20">
        <f t="shared" ca="1" si="7"/>
        <v>0.76798583660001096</v>
      </c>
      <c r="AG11" s="20">
        <f t="shared" ca="1" si="7"/>
        <v>0.75852448608929068</v>
      </c>
      <c r="AH11" s="20">
        <f t="shared" ca="1" si="7"/>
        <v>0.74919320113061583</v>
      </c>
      <c r="AI11" s="20">
        <f t="shared" ca="1" si="7"/>
        <v>0.73999008879341166</v>
      </c>
      <c r="AJ11" s="20">
        <f t="shared" ca="1" si="7"/>
        <v>0.7309132659053853</v>
      </c>
      <c r="AK11" s="20">
        <f t="shared" ca="1" si="7"/>
        <v>0.72196086108568847</v>
      </c>
      <c r="AL11" s="20">
        <f t="shared" ca="1" si="7"/>
        <v>0.71313101656695987</v>
      </c>
      <c r="AM11" s="20">
        <f t="shared" ca="1" si="7"/>
        <v>0.7044218898225072</v>
      </c>
      <c r="AN11" s="20">
        <f t="shared" ca="1" si="7"/>
        <v>0.69583165501376476</v>
      </c>
      <c r="AO11" s="20">
        <f t="shared" ca="1" si="7"/>
        <v>0.68735850427210909</v>
      </c>
      <c r="AP11" s="20">
        <f t="shared" ca="1" si="7"/>
        <v>0.67900064882813327</v>
      </c>
      <c r="AQ11" s="20">
        <f t="shared" ca="1" si="7"/>
        <v>0.67075632000055485</v>
      </c>
      <c r="AR11" s="20">
        <f t="shared" ca="1" si="7"/>
        <v>0.66262377005607509</v>
      </c>
      <c r="AS11" s="20">
        <f t="shared" ca="1" si="7"/>
        <v>0.65460127295070236</v>
      </c>
      <c r="AT11" s="20">
        <f t="shared" ca="1" si="7"/>
        <v>0.64668712496229941</v>
      </c>
      <c r="AU11" s="20">
        <f t="shared" ca="1" si="7"/>
        <v>0.63887964522341445</v>
      </c>
      <c r="AV11" s="20">
        <f t="shared" ca="1" si="7"/>
        <v>0.63117717616280122</v>
      </c>
      <c r="AW11" s="20">
        <f t="shared" ca="1" si="7"/>
        <v>0.62357808386342095</v>
      </c>
      <c r="AX11" s="20">
        <f t="shared" ca="1" si="7"/>
        <v>0.61608075834415388</v>
      </c>
      <c r="AY11" s="50"/>
    </row>
    <row r="12" spans="2:51" x14ac:dyDescent="0.2">
      <c r="B12" s="26" t="s">
        <v>3</v>
      </c>
      <c r="C12" s="25">
        <v>0.05</v>
      </c>
      <c r="D12" s="4"/>
      <c r="E12" s="22">
        <f t="shared" si="4"/>
        <v>2</v>
      </c>
      <c r="F12" s="21">
        <f t="shared" si="5"/>
        <v>0.5</v>
      </c>
      <c r="G12" s="4">
        <f t="shared" ca="1" si="6"/>
        <v>5.6686293812785692E-2</v>
      </c>
      <c r="H12" s="20">
        <f t="shared" ca="1" si="0"/>
        <v>0.36806619550031255</v>
      </c>
      <c r="I12" s="19">
        <f t="shared" ca="1" si="1"/>
        <v>0.39864474352539259</v>
      </c>
      <c r="J12" s="42">
        <f t="shared" ca="1" si="2"/>
        <v>-3.0578548025080032E-2</v>
      </c>
      <c r="K12" s="18"/>
      <c r="L12" s="49">
        <f t="shared" ref="L12:AW12" ca="1" si="8">L$50*EXP(-L$51*$G12)</f>
        <v>0.98594905286763834</v>
      </c>
      <c r="M12" s="20">
        <f t="shared" ca="1" si="8"/>
        <v>0.97213661209677493</v>
      </c>
      <c r="N12" s="20">
        <f t="shared" ca="1" si="8"/>
        <v>0.95855854976289279</v>
      </c>
      <c r="O12" s="20">
        <f t="shared" ca="1" si="8"/>
        <v>0.94521073452351556</v>
      </c>
      <c r="P12" s="20">
        <f t="shared" ca="1" si="8"/>
        <v>0.9320890406790594</v>
      </c>
      <c r="Q12" s="20">
        <f t="shared" ca="1" si="8"/>
        <v>0.91918935629466259</v>
      </c>
      <c r="R12" s="20">
        <f t="shared" ca="1" si="8"/>
        <v>0.90650759045906226</v>
      </c>
      <c r="S12" s="20">
        <f t="shared" ca="1" si="8"/>
        <v>0.89403967975110243</v>
      </c>
      <c r="T12" s="20">
        <f t="shared" ca="1" si="8"/>
        <v>0.88178159397933453</v>
      </c>
      <c r="U12" s="20">
        <f t="shared" ca="1" si="8"/>
        <v>0.86972934125536561</v>
      </c>
      <c r="V12" s="20">
        <f t="shared" ca="1" si="8"/>
        <v>0.85787897245712164</v>
      </c>
      <c r="W12" s="20">
        <f t="shared" ca="1" si="8"/>
        <v>0.8462265851340024</v>
      </c>
      <c r="X12" s="20">
        <f t="shared" ca="1" si="8"/>
        <v>0.83476832690199076</v>
      </c>
      <c r="Y12" s="20">
        <f t="shared" ca="1" si="8"/>
        <v>0.82350039837313871</v>
      </c>
      <c r="Z12" s="20">
        <f t="shared" ca="1" si="8"/>
        <v>0.81241905566045269</v>
      </c>
      <c r="AA12" s="20">
        <f t="shared" ca="1" si="8"/>
        <v>0.80152061249604845</v>
      </c>
      <c r="AB12" s="20">
        <f t="shared" ca="1" si="8"/>
        <v>0.79080144199750324</v>
      </c>
      <c r="AC12" s="20">
        <f t="shared" ca="1" si="8"/>
        <v>0.7802579781146094</v>
      </c>
      <c r="AD12" s="20">
        <f t="shared" ca="1" si="8"/>
        <v>0.76988671678619758</v>
      </c>
      <c r="AE12" s="20">
        <f t="shared" ca="1" si="8"/>
        <v>0.75968421683434861</v>
      </c>
      <c r="AF12" s="20">
        <f t="shared" ca="1" si="8"/>
        <v>0.74964710062113282</v>
      </c>
      <c r="AG12" s="20">
        <f t="shared" ca="1" si="8"/>
        <v>0.73977205449099637</v>
      </c>
      <c r="AH12" s="20">
        <f t="shared" ca="1" si="8"/>
        <v>0.73005582902004262</v>
      </c>
      <c r="AI12" s="20">
        <f t="shared" ca="1" si="8"/>
        <v>0.72049523909172553</v>
      </c>
      <c r="AJ12" s="20">
        <f t="shared" ca="1" si="8"/>
        <v>0.71108716381686721</v>
      </c>
      <c r="AK12" s="20">
        <f t="shared" ca="1" si="8"/>
        <v>0.70182854631443381</v>
      </c>
      <c r="AL12" s="20">
        <f t="shared" ca="1" si="8"/>
        <v>0.69271639336812996</v>
      </c>
      <c r="AM12" s="20">
        <f t="shared" ca="1" si="8"/>
        <v>0.68374777497260786</v>
      </c>
      <c r="AN12" s="20">
        <f t="shared" ca="1" si="8"/>
        <v>0.67491982378191928</v>
      </c>
      <c r="AO12" s="20">
        <f t="shared" ca="1" si="8"/>
        <v>0.66622973447175882</v>
      </c>
      <c r="AP12" s="20">
        <f t="shared" ca="1" si="8"/>
        <v>0.6576747630260491</v>
      </c>
      <c r="AQ12" s="20">
        <f t="shared" ca="1" si="8"/>
        <v>0.64925222595750698</v>
      </c>
      <c r="AR12" s="20">
        <f t="shared" ca="1" si="8"/>
        <v>0.64095949947097308</v>
      </c>
      <c r="AS12" s="20">
        <f t="shared" ca="1" si="8"/>
        <v>0.63279401857751916</v>
      </c>
      <c r="AT12" s="20">
        <f t="shared" ca="1" si="8"/>
        <v>0.62475327616661847</v>
      </c>
      <c r="AU12" s="20">
        <f t="shared" ca="1" si="8"/>
        <v>0.61683482204301054</v>
      </c>
      <c r="AV12" s="20">
        <f t="shared" ca="1" si="8"/>
        <v>0.60903626193427984</v>
      </c>
      <c r="AW12" s="20">
        <f t="shared" ca="1" si="8"/>
        <v>0.60135525647460741</v>
      </c>
      <c r="AX12" s="20"/>
      <c r="AY12" s="50"/>
    </row>
    <row r="13" spans="2:51" x14ac:dyDescent="0.2">
      <c r="B13" s="22" t="s">
        <v>5</v>
      </c>
      <c r="C13" s="25">
        <v>0.01</v>
      </c>
      <c r="D13" s="4"/>
      <c r="E13" s="22">
        <f t="shared" si="4"/>
        <v>3</v>
      </c>
      <c r="F13" s="21">
        <f t="shared" si="5"/>
        <v>0.75</v>
      </c>
      <c r="G13" s="4">
        <f t="shared" ca="1" si="6"/>
        <v>5.2566874291665996E-2</v>
      </c>
      <c r="H13" s="20">
        <f t="shared" ca="1" si="0"/>
        <v>0.36551343054942736</v>
      </c>
      <c r="I13" s="19">
        <f t="shared" ca="1" si="1"/>
        <v>0.37563370218656567</v>
      </c>
      <c r="J13" s="42">
        <f t="shared" ca="1" si="2"/>
        <v>-1.0120271637138301E-2</v>
      </c>
      <c r="K13" s="18"/>
      <c r="L13" s="49">
        <f t="shared" ref="L13:AV13" ca="1" si="9">L$50*EXP(-L$51*$G13)</f>
        <v>0.98695236025695532</v>
      </c>
      <c r="M13" s="20">
        <f t="shared" ca="1" si="9"/>
        <v>0.97409166060975194</v>
      </c>
      <c r="N13" s="20">
        <f t="shared" ca="1" si="9"/>
        <v>0.96141599674368128</v>
      </c>
      <c r="O13" s="20">
        <f t="shared" ca="1" si="9"/>
        <v>0.94892337086674328</v>
      </c>
      <c r="P13" s="20">
        <f t="shared" ca="1" si="9"/>
        <v>0.93661170393434467</v>
      </c>
      <c r="Q13" s="20">
        <f t="shared" ca="1" si="9"/>
        <v>0.92447884688409698</v>
      </c>
      <c r="R13" s="20">
        <f t="shared" ca="1" si="9"/>
        <v>0.91252259094951504</v>
      </c>
      <c r="S13" s="20">
        <f t="shared" ca="1" si="9"/>
        <v>0.90074067711721995</v>
      </c>
      <c r="T13" s="20">
        <f t="shared" ca="1" si="9"/>
        <v>0.88913080478826123</v>
      </c>
      <c r="U13" s="20">
        <f t="shared" ca="1" si="9"/>
        <v>0.87769063970037231</v>
      </c>
      <c r="V13" s="20">
        <f t="shared" ca="1" si="9"/>
        <v>0.86641782116436494</v>
      </c>
      <c r="W13" s="20">
        <f t="shared" ca="1" si="9"/>
        <v>0.85530996866445452</v>
      </c>
      <c r="X13" s="20">
        <f t="shared" ca="1" si="9"/>
        <v>0.84436468786906815</v>
      </c>
      <c r="Y13" s="20">
        <f t="shared" ca="1" si="9"/>
        <v>0.8335795760956356</v>
      </c>
      <c r="Z13" s="20">
        <f t="shared" ca="1" si="9"/>
        <v>0.82295222726997963</v>
      </c>
      <c r="AA13" s="20">
        <f t="shared" ca="1" si="9"/>
        <v>0.81248023641820244</v>
      </c>
      <c r="AB13" s="20">
        <f t="shared" ca="1" si="9"/>
        <v>0.80216120372641186</v>
      </c>
      <c r="AC13" s="20">
        <f t="shared" ca="1" si="9"/>
        <v>0.79199273820122507</v>
      </c>
      <c r="AD13" s="20">
        <f t="shared" ca="1" si="9"/>
        <v>0.78197246096172435</v>
      </c>
      <c r="AE13" s="20">
        <f t="shared" ca="1" si="9"/>
        <v>0.77209800819143026</v>
      </c>
      <c r="AF13" s="20">
        <f t="shared" ca="1" si="9"/>
        <v>0.76236703377685977</v>
      </c>
      <c r="AG13" s="20">
        <f t="shared" ca="1" si="9"/>
        <v>0.75277721165738265</v>
      </c>
      <c r="AH13" s="20">
        <f t="shared" ca="1" si="9"/>
        <v>0.74332623790934138</v>
      </c>
      <c r="AI13" s="20">
        <f t="shared" ca="1" si="9"/>
        <v>0.73401183258577385</v>
      </c>
      <c r="AJ13" s="20">
        <f t="shared" ca="1" si="9"/>
        <v>0.72483174133154959</v>
      </c>
      <c r="AK13" s="20">
        <f t="shared" ca="1" si="9"/>
        <v>0.71578373679230989</v>
      </c>
      <c r="AL13" s="20">
        <f t="shared" ca="1" si="9"/>
        <v>0.70686561983426865</v>
      </c>
      <c r="AM13" s="20">
        <f t="shared" ca="1" si="9"/>
        <v>0.69807522059069294</v>
      </c>
      <c r="AN13" s="20">
        <f t="shared" ca="1" si="9"/>
        <v>0.6894103993497217</v>
      </c>
      <c r="AO13" s="20">
        <f t="shared" ca="1" si="9"/>
        <v>0.6808690472971054</v>
      </c>
      <c r="AP13" s="20">
        <f t="shared" ca="1" si="9"/>
        <v>0.67244908712643914</v>
      </c>
      <c r="AQ13" s="20">
        <f t="shared" ca="1" si="9"/>
        <v>0.66414847352852935</v>
      </c>
      <c r="AR13" s="20">
        <f t="shared" ca="1" si="9"/>
        <v>0.65596519357065908</v>
      </c>
      <c r="AS13" s="20">
        <f t="shared" ca="1" si="9"/>
        <v>0.64789726697570793</v>
      </c>
      <c r="AT13" s="20">
        <f t="shared" ca="1" si="9"/>
        <v>0.63994274631032433</v>
      </c>
      <c r="AU13" s="20">
        <f t="shared" ca="1" si="9"/>
        <v>0.63209971709064894</v>
      </c>
      <c r="AV13" s="20">
        <f t="shared" ca="1" si="9"/>
        <v>0.62436629781343433</v>
      </c>
      <c r="AW13" s="20"/>
      <c r="AX13" s="20"/>
      <c r="AY13" s="50"/>
    </row>
    <row r="14" spans="2:51" ht="13.5" thickBot="1" x14ac:dyDescent="0.25">
      <c r="B14" s="24" t="s">
        <v>6</v>
      </c>
      <c r="C14" s="23">
        <v>0.05</v>
      </c>
      <c r="D14" s="4"/>
      <c r="E14" s="22">
        <f t="shared" si="4"/>
        <v>4</v>
      </c>
      <c r="F14" s="21">
        <f t="shared" si="5"/>
        <v>1</v>
      </c>
      <c r="G14" s="4">
        <f t="shared" ca="1" si="6"/>
        <v>5.688448172310407E-2</v>
      </c>
      <c r="H14" s="20">
        <f t="shared" ca="1" si="0"/>
        <v>0.35270873703317296</v>
      </c>
      <c r="I14" s="19">
        <f t="shared" ca="1" si="1"/>
        <v>0.38389021538214019</v>
      </c>
      <c r="J14" s="42">
        <f t="shared" ca="1" si="2"/>
        <v>-3.1181478348967229E-2</v>
      </c>
      <c r="K14" s="18"/>
      <c r="L14" s="49">
        <f t="shared" ref="L14:AU14" ca="1" si="10">L$50*EXP(-L$51*$G14)</f>
        <v>0.98590080883035425</v>
      </c>
      <c r="M14" s="20">
        <f t="shared" ca="1" si="10"/>
        <v>0.97204265245555854</v>
      </c>
      <c r="N14" s="20">
        <f t="shared" ca="1" si="10"/>
        <v>0.95842129048458058</v>
      </c>
      <c r="O14" s="20">
        <f t="shared" ca="1" si="10"/>
        <v>0.94503248389615135</v>
      </c>
      <c r="P14" s="20">
        <f t="shared" ca="1" si="10"/>
        <v>0.93187200391408731</v>
      </c>
      <c r="Q14" s="20">
        <f t="shared" ca="1" si="10"/>
        <v>0.91893563994829397</v>
      </c>
      <c r="R14" s="20">
        <f t="shared" ca="1" si="10"/>
        <v>0.90621920667772582</v>
      </c>
      <c r="S14" s="20">
        <f t="shared" ca="1" si="10"/>
        <v>0.89371855034604919</v>
      </c>
      <c r="T14" s="20">
        <f t="shared" ca="1" si="10"/>
        <v>0.88142955433557557</v>
      </c>
      <c r="U14" s="20">
        <f t="shared" ca="1" si="10"/>
        <v>0.86934814408018712</v>
      </c>
      <c r="V14" s="20">
        <f t="shared" ca="1" si="10"/>
        <v>0.85747029137345498</v>
      </c>
      <c r="W14" s="20">
        <f t="shared" ca="1" si="10"/>
        <v>0.84579201812392424</v>
      </c>
      <c r="X14" s="20">
        <f t="shared" ca="1" si="10"/>
        <v>0.8343093996056018</v>
      </c>
      <c r="Y14" s="20">
        <f t="shared" ca="1" si="10"/>
        <v>0.82301856724802225</v>
      </c>
      <c r="Z14" s="20">
        <f t="shared" ca="1" si="10"/>
        <v>0.81191571100684301</v>
      </c>
      <c r="AA14" s="20">
        <f t="shared" ca="1" si="10"/>
        <v>0.80099708135275394</v>
      </c>
      <c r="AB14" s="20">
        <f t="shared" ca="1" si="10"/>
        <v>0.79025899091353602</v>
      </c>
      <c r="AC14" s="20">
        <f t="shared" ca="1" si="10"/>
        <v>0.77969781580135811</v>
      </c>
      <c r="AD14" s="20">
        <f t="shared" ca="1" si="10"/>
        <v>0.76930999665486732</v>
      </c>
      <c r="AE14" s="20">
        <f t="shared" ca="1" si="10"/>
        <v>0.75909203942326642</v>
      </c>
      <c r="AF14" s="20">
        <f t="shared" ca="1" si="10"/>
        <v>0.74904051591738763</v>
      </c>
      <c r="AG14" s="20">
        <f t="shared" ca="1" si="10"/>
        <v>0.73915206415074952</v>
      </c>
      <c r="AH14" s="20">
        <f t="shared" ca="1" si="10"/>
        <v>0.72942338849171018</v>
      </c>
      <c r="AI14" s="20">
        <f t="shared" ca="1" si="10"/>
        <v>0.7198512596460952</v>
      </c>
      <c r="AJ14" s="20">
        <f t="shared" ca="1" si="10"/>
        <v>0.71043251448807732</v>
      </c>
      <c r="AK14" s="20">
        <f t="shared" ca="1" si="10"/>
        <v>0.70116405575560314</v>
      </c>
      <c r="AL14" s="20">
        <f t="shared" ca="1" si="10"/>
        <v>0.69204285162529022</v>
      </c>
      <c r="AM14" s="20">
        <f t="shared" ca="1" si="10"/>
        <v>0.68306593518045955</v>
      </c>
      <c r="AN14" s="20">
        <f t="shared" ca="1" si="10"/>
        <v>0.67423040378479482</v>
      </c>
      <c r="AO14" s="20">
        <f t="shared" ca="1" si="10"/>
        <v>0.66553341837304769</v>
      </c>
      <c r="AP14" s="20">
        <f t="shared" ca="1" si="10"/>
        <v>0.65697220266921463</v>
      </c>
      <c r="AQ14" s="20">
        <f t="shared" ca="1" si="10"/>
        <v>0.64854404234169605</v>
      </c>
      <c r="AR14" s="20">
        <f t="shared" ca="1" si="10"/>
        <v>0.64024628410410156</v>
      </c>
      <c r="AS14" s="20">
        <f t="shared" ca="1" si="10"/>
        <v>0.63207633476959535</v>
      </c>
      <c r="AT14" s="20">
        <f t="shared" ca="1" si="10"/>
        <v>0.62403166026595458</v>
      </c>
      <c r="AU14" s="20">
        <f t="shared" ca="1" si="10"/>
        <v>0.61610978461785981</v>
      </c>
      <c r="AV14" s="20"/>
      <c r="AW14" s="20"/>
      <c r="AX14" s="20"/>
      <c r="AY14" s="50"/>
    </row>
    <row r="15" spans="2:51" x14ac:dyDescent="0.2">
      <c r="C15" s="13"/>
      <c r="D15" s="7"/>
      <c r="E15" s="22">
        <f t="shared" si="4"/>
        <v>5</v>
      </c>
      <c r="F15" s="21">
        <f t="shared" si="5"/>
        <v>1.25</v>
      </c>
      <c r="G15" s="4">
        <f t="shared" ca="1" si="6"/>
        <v>5.7177835925633955E-2</v>
      </c>
      <c r="H15" s="20">
        <f t="shared" ca="1" si="0"/>
        <v>0.34468426547319003</v>
      </c>
      <c r="I15" s="19">
        <f t="shared" ca="1" si="1"/>
        <v>0.37703493304236946</v>
      </c>
      <c r="J15" s="42">
        <f t="shared" ca="1" si="2"/>
        <v>-3.2350667569179425E-2</v>
      </c>
      <c r="K15" s="18"/>
      <c r="L15" s="49">
        <f t="shared" ref="L15:AT15" ca="1" si="11">L$50*EXP(-L$51*$G15)</f>
        <v>0.9858294032017535</v>
      </c>
      <c r="M15" s="20">
        <f t="shared" ca="1" si="11"/>
        <v>0.97190359174332519</v>
      </c>
      <c r="N15" s="20">
        <f t="shared" ca="1" si="11"/>
        <v>0.95821815783056496</v>
      </c>
      <c r="O15" s="20">
        <f t="shared" ca="1" si="11"/>
        <v>0.94476870220406095</v>
      </c>
      <c r="P15" s="20">
        <f t="shared" ca="1" si="11"/>
        <v>0.93155084273401301</v>
      </c>
      <c r="Q15" s="20">
        <f t="shared" ca="1" si="11"/>
        <v>0.91856022208814869</v>
      </c>
      <c r="R15" s="20">
        <f t="shared" ca="1" si="11"/>
        <v>0.90579251454924581</v>
      </c>
      <c r="S15" s="20">
        <f t="shared" ca="1" si="11"/>
        <v>0.8932434320532161</v>
      </c>
      <c r="T15" s="20">
        <f t="shared" ca="1" si="11"/>
        <v>0.88090872951345656</v>
      </c>
      <c r="U15" s="20">
        <f t="shared" ca="1" si="11"/>
        <v>0.86878420949226642</v>
      </c>
      <c r="V15" s="20">
        <f t="shared" ca="1" si="11"/>
        <v>0.85686572627555491</v>
      </c>
      <c r="W15" s="20">
        <f t="shared" ca="1" si="11"/>
        <v>0.84514918940279682</v>
      </c>
      <c r="X15" s="20">
        <f t="shared" ca="1" si="11"/>
        <v>0.83363056670021141</v>
      </c>
      <c r="Y15" s="20">
        <f t="shared" ca="1" si="11"/>
        <v>0.82230588686144945</v>
      </c>
      <c r="Z15" s="20">
        <f t="shared" ca="1" si="11"/>
        <v>0.81117124161662391</v>
      </c>
      <c r="AA15" s="20">
        <f t="shared" ca="1" si="11"/>
        <v>0.80022278752732889</v>
      </c>
      <c r="AB15" s="20">
        <f t="shared" ca="1" si="11"/>
        <v>0.78945674744231953</v>
      </c>
      <c r="AC15" s="20">
        <f t="shared" ca="1" si="11"/>
        <v>0.77886941164577228</v>
      </c>
      <c r="AD15" s="20">
        <f t="shared" ca="1" si="11"/>
        <v>0.76845713872749188</v>
      </c>
      <c r="AE15" s="20">
        <f t="shared" ca="1" si="11"/>
        <v>0.75821635620206529</v>
      </c>
      <c r="AF15" s="20">
        <f t="shared" ca="1" si="11"/>
        <v>0.74814356090176837</v>
      </c>
      <c r="AG15" s="20">
        <f t="shared" ca="1" si="11"/>
        <v>0.73823531916600638</v>
      </c>
      <c r="AH15" s="20">
        <f t="shared" ca="1" si="11"/>
        <v>0.7284882668481899</v>
      </c>
      <c r="AI15" s="20">
        <f t="shared" ca="1" si="11"/>
        <v>0.71889910915921584</v>
      </c>
      <c r="AJ15" s="20">
        <f t="shared" ca="1" si="11"/>
        <v>0.70946462036511659</v>
      </c>
      <c r="AK15" s="20">
        <f t="shared" ca="1" si="11"/>
        <v>0.7001816433549628</v>
      </c>
      <c r="AL15" s="20">
        <f t="shared" ca="1" si="11"/>
        <v>0.69104708909373502</v>
      </c>
      <c r="AM15" s="20">
        <f t="shared" ca="1" si="11"/>
        <v>0.6820579359736223</v>
      </c>
      <c r="AN15" s="20">
        <f t="shared" ca="1" si="11"/>
        <v>0.67321122907603737</v>
      </c>
      <c r="AO15" s="20">
        <f t="shared" ca="1" si="11"/>
        <v>0.66450407935556899</v>
      </c>
      <c r="AP15" s="20">
        <f t="shared" ca="1" si="11"/>
        <v>0.65593366275610243</v>
      </c>
      <c r="AQ15" s="20">
        <f t="shared" ca="1" si="11"/>
        <v>0.64749721926842885</v>
      </c>
      <c r="AR15" s="20">
        <f t="shared" ca="1" si="11"/>
        <v>0.63919205193782558</v>
      </c>
      <c r="AS15" s="20">
        <f t="shared" ca="1" si="11"/>
        <v>0.63101552582931864</v>
      </c>
      <c r="AT15" s="20">
        <f t="shared" ca="1" si="11"/>
        <v>0.62296506695763054</v>
      </c>
      <c r="AU15" s="20"/>
      <c r="AV15" s="20"/>
      <c r="AW15" s="20"/>
      <c r="AX15" s="20"/>
      <c r="AY15" s="50"/>
    </row>
    <row r="16" spans="2:51" x14ac:dyDescent="0.2">
      <c r="C16" s="13"/>
      <c r="D16" s="7"/>
      <c r="E16" s="22">
        <f t="shared" si="4"/>
        <v>6</v>
      </c>
      <c r="F16" s="21">
        <f t="shared" si="5"/>
        <v>1.5</v>
      </c>
      <c r="G16" s="4">
        <f t="shared" ca="1" si="6"/>
        <v>6.4519498228829644E-2</v>
      </c>
      <c r="H16" s="20">
        <f t="shared" ca="1" si="0"/>
        <v>0.32926148084240864</v>
      </c>
      <c r="I16" s="19">
        <f t="shared" ca="1" si="1"/>
        <v>0.39496082665731669</v>
      </c>
      <c r="J16" s="42">
        <f t="shared" ca="1" si="2"/>
        <v>-6.569934581490805E-2</v>
      </c>
      <c r="K16" s="18"/>
      <c r="L16" s="49">
        <f t="shared" ref="L16:AS16" ca="1" si="12">L$50*EXP(-L$51*$G16)</f>
        <v>0.98404404545004887</v>
      </c>
      <c r="M16" s="20">
        <f t="shared" ca="1" si="12"/>
        <v>0.96842984468041005</v>
      </c>
      <c r="N16" s="20">
        <f t="shared" ca="1" si="12"/>
        <v>0.95314843304331465</v>
      </c>
      <c r="O16" s="20">
        <f t="shared" ca="1" si="12"/>
        <v>0.93819106524650298</v>
      </c>
      <c r="P16" s="20">
        <f t="shared" ca="1" si="12"/>
        <v>0.92354921451222349</v>
      </c>
      <c r="Q16" s="20">
        <f t="shared" ca="1" si="12"/>
        <v>0.90921457116811932</v>
      </c>
      <c r="R16" s="20">
        <f t="shared" ca="1" si="12"/>
        <v>0.89517904074196319</v>
      </c>
      <c r="S16" s="20">
        <f t="shared" ca="1" si="12"/>
        <v>0.88143474162528002</v>
      </c>
      <c r="T16" s="20">
        <f t="shared" ca="1" si="12"/>
        <v>0.86797400236457578</v>
      </c>
      <c r="U16" s="20">
        <f t="shared" ca="1" si="12"/>
        <v>0.85478935863311689</v>
      </c>
      <c r="V16" s="20">
        <f t="shared" ca="1" si="12"/>
        <v>0.84187354993093866</v>
      </c>
      <c r="W16" s="20">
        <f t="shared" ca="1" si="12"/>
        <v>0.82921951605595456</v>
      </c>
      <c r="X16" s="20">
        <f t="shared" ca="1" si="12"/>
        <v>0.81682039338466816</v>
      </c>
      <c r="Y16" s="20">
        <f t="shared" ca="1" si="12"/>
        <v>0.8046695109969999</v>
      </c>
      <c r="Z16" s="20">
        <f t="shared" ca="1" si="12"/>
        <v>0.7927603866761227</v>
      </c>
      <c r="AA16" s="20">
        <f t="shared" ca="1" si="12"/>
        <v>0.78108672281090197</v>
      </c>
      <c r="AB16" s="20">
        <f t="shared" ca="1" si="12"/>
        <v>0.76964240222554614</v>
      </c>
      <c r="AC16" s="20">
        <f t="shared" ca="1" si="12"/>
        <v>0.75842148395835773</v>
      </c>
      <c r="AD16" s="20">
        <f t="shared" ca="1" si="12"/>
        <v>0.74741819900901096</v>
      </c>
      <c r="AE16" s="20">
        <f t="shared" ca="1" si="12"/>
        <v>0.7366269460715511</v>
      </c>
      <c r="AF16" s="20">
        <f t="shared" ca="1" si="12"/>
        <v>0.72604228726829045</v>
      </c>
      <c r="AG16" s="20">
        <f t="shared" ca="1" si="12"/>
        <v>0.71565894389794804</v>
      </c>
      <c r="AH16" s="20">
        <f t="shared" ca="1" si="12"/>
        <v>0.70547179220972478</v>
      </c>
      <c r="AI16" s="20">
        <f t="shared" ca="1" si="12"/>
        <v>0.6954758592135204</v>
      </c>
      <c r="AJ16" s="20">
        <f t="shared" ca="1" si="12"/>
        <v>0.68566631853514537</v>
      </c>
      <c r="AK16" s="20">
        <f t="shared" ca="1" si="12"/>
        <v>0.67603848632417585</v>
      </c>
      <c r="AL16" s="20">
        <f t="shared" ca="1" si="12"/>
        <v>0.66658781722100147</v>
      </c>
      <c r="AM16" s="20">
        <f t="shared" ca="1" si="12"/>
        <v>0.65730990038863923</v>
      </c>
      <c r="AN16" s="20">
        <f t="shared" ca="1" si="12"/>
        <v>0.64820045561400619</v>
      </c>
      <c r="AO16" s="20">
        <f t="shared" ca="1" si="12"/>
        <v>0.6392553294825476</v>
      </c>
      <c r="AP16" s="20">
        <f t="shared" ca="1" si="12"/>
        <v>0.63047049162941882</v>
      </c>
      <c r="AQ16" s="20">
        <f t="shared" ca="1" si="12"/>
        <v>0.62184203106977987</v>
      </c>
      <c r="AR16" s="20">
        <f t="shared" ca="1" si="12"/>
        <v>0.61336615261020244</v>
      </c>
      <c r="AS16" s="20">
        <f t="shared" ca="1" si="12"/>
        <v>0.60503917334268331</v>
      </c>
      <c r="AT16" s="20"/>
      <c r="AU16" s="20"/>
      <c r="AV16" s="20"/>
      <c r="AW16" s="20"/>
      <c r="AX16" s="20"/>
      <c r="AY16" s="50"/>
    </row>
    <row r="17" spans="3:51" x14ac:dyDescent="0.2">
      <c r="C17" s="13"/>
      <c r="D17" s="7"/>
      <c r="E17" s="22">
        <f t="shared" si="4"/>
        <v>7</v>
      </c>
      <c r="F17" s="21">
        <f t="shared" si="5"/>
        <v>1.75</v>
      </c>
      <c r="G17" s="4">
        <f t="shared" ca="1" si="6"/>
        <v>6.3618402356853163E-2</v>
      </c>
      <c r="H17" s="20">
        <f t="shared" ca="1" si="0"/>
        <v>0.32258459414832447</v>
      </c>
      <c r="I17" s="19">
        <f t="shared" ca="1" si="1"/>
        <v>0.3835210907931148</v>
      </c>
      <c r="J17" s="42">
        <f t="shared" ca="1" si="2"/>
        <v>-6.0936496644790339E-2</v>
      </c>
      <c r="K17" s="18"/>
      <c r="L17" s="49">
        <f t="shared" ref="L17:AR17" ca="1" si="13">L$50*EXP(-L$51*$G17)</f>
        <v>0.9842630012669159</v>
      </c>
      <c r="M17" s="20">
        <f t="shared" ca="1" si="13"/>
        <v>0.96885553372995536</v>
      </c>
      <c r="N17" s="20">
        <f t="shared" ca="1" si="13"/>
        <v>0.95376923050718099</v>
      </c>
      <c r="O17" s="20">
        <f t="shared" ca="1" si="13"/>
        <v>0.938995914838199</v>
      </c>
      <c r="P17" s="20">
        <f t="shared" ca="1" si="13"/>
        <v>0.92452760066504636</v>
      </c>
      <c r="Q17" s="20">
        <f t="shared" ca="1" si="13"/>
        <v>0.91035649258126072</v>
      </c>
      <c r="R17" s="20">
        <f t="shared" ca="1" si="13"/>
        <v>0.89647498522305047</v>
      </c>
      <c r="S17" s="20">
        <f t="shared" ca="1" si="13"/>
        <v>0.88287566216963531</v>
      </c>
      <c r="T17" s="20">
        <f t="shared" ca="1" si="13"/>
        <v>0.86955129441355339</v>
      </c>
      <c r="U17" s="20">
        <f t="shared" ca="1" si="13"/>
        <v>0.85649483845597862</v>
      </c>
      <c r="V17" s="20">
        <f t="shared" ca="1" si="13"/>
        <v>0.84369943407683734</v>
      </c>
      <c r="W17" s="20">
        <f t="shared" ca="1" si="13"/>
        <v>0.83115840182470035</v>
      </c>
      <c r="X17" s="20">
        <f t="shared" ca="1" si="13"/>
        <v>0.81886524026703289</v>
      </c>
      <c r="Y17" s="20">
        <f t="shared" ca="1" si="13"/>
        <v>0.80681362303737392</v>
      </c>
      <c r="Z17" s="20">
        <f t="shared" ca="1" si="13"/>
        <v>0.79499739571235151</v>
      </c>
      <c r="AA17" s="20">
        <f t="shared" ca="1" si="13"/>
        <v>0.78341057254810631</v>
      </c>
      <c r="AB17" s="20">
        <f t="shared" ca="1" si="13"/>
        <v>0.77204733310265261</v>
      </c>
      <c r="AC17" s="20">
        <f t="shared" ca="1" si="13"/>
        <v>0.76090201876793262</v>
      </c>
      <c r="AD17" s="20">
        <f t="shared" ca="1" si="13"/>
        <v>0.74996912923280756</v>
      </c>
      <c r="AE17" s="20">
        <f t="shared" ca="1" si="13"/>
        <v>0.7392433188959312</v>
      </c>
      <c r="AF17" s="20">
        <f t="shared" ca="1" si="13"/>
        <v>0.72871939324537227</v>
      </c>
      <c r="AG17" s="20">
        <f t="shared" ca="1" si="13"/>
        <v>0.71839230521996467</v>
      </c>
      <c r="AH17" s="20">
        <f t="shared" ca="1" si="13"/>
        <v>0.70825715156564484</v>
      </c>
      <c r="AI17" s="20">
        <f t="shared" ca="1" si="13"/>
        <v>0.69830916919848929</v>
      </c>
      <c r="AJ17" s="20">
        <f t="shared" ca="1" si="13"/>
        <v>0.68854373158474869</v>
      </c>
      <c r="AK17" s="20">
        <f t="shared" ca="1" si="13"/>
        <v>0.67895634514691239</v>
      </c>
      <c r="AL17" s="20">
        <f t="shared" ca="1" si="13"/>
        <v>0.66954264570367572</v>
      </c>
      <c r="AM17" s="20">
        <f t="shared" ca="1" si="13"/>
        <v>0.66029839495065101</v>
      </c>
      <c r="AN17" s="20">
        <f t="shared" ca="1" si="13"/>
        <v>0.6512194769877212</v>
      </c>
      <c r="AO17" s="20">
        <f t="shared" ca="1" si="13"/>
        <v>0.64230189489808942</v>
      </c>
      <c r="AP17" s="20">
        <f t="shared" ca="1" si="13"/>
        <v>0.63354176738332058</v>
      </c>
      <c r="AQ17" s="20">
        <f t="shared" ca="1" si="13"/>
        <v>0.62493532545798247</v>
      </c>
      <c r="AR17" s="20">
        <f t="shared" ca="1" si="13"/>
        <v>0.6164789092068852</v>
      </c>
      <c r="AS17" s="20"/>
      <c r="AT17" s="20"/>
      <c r="AU17" s="20"/>
      <c r="AV17" s="20"/>
      <c r="AW17" s="20"/>
      <c r="AX17" s="20"/>
      <c r="AY17" s="50"/>
    </row>
    <row r="18" spans="3:51" x14ac:dyDescent="0.2">
      <c r="C18" s="13"/>
      <c r="D18" s="7"/>
      <c r="E18" s="22">
        <f t="shared" si="4"/>
        <v>8</v>
      </c>
      <c r="F18" s="21">
        <f t="shared" si="5"/>
        <v>2</v>
      </c>
      <c r="G18" s="4">
        <f t="shared" ca="1" si="6"/>
        <v>6.5963780054478061E-2</v>
      </c>
      <c r="H18" s="20">
        <f t="shared" ca="1" si="0"/>
        <v>0.31267959073991719</v>
      </c>
      <c r="I18" s="19">
        <f t="shared" ca="1" si="1"/>
        <v>0.38308401391736657</v>
      </c>
      <c r="J18" s="42">
        <f t="shared" ca="1" si="2"/>
        <v>-7.0404423177449382E-2</v>
      </c>
      <c r="K18" s="18"/>
      <c r="L18" s="49">
        <f t="shared" ref="L18:AQ18" ca="1" si="14">L$50*EXP(-L$51*$G18)</f>
        <v>0.98369320335951671</v>
      </c>
      <c r="M18" s="20">
        <f t="shared" ca="1" si="14"/>
        <v>0.96774793784263469</v>
      </c>
      <c r="N18" s="20">
        <f t="shared" ca="1" si="14"/>
        <v>0.9521542579119634</v>
      </c>
      <c r="O18" s="20">
        <f t="shared" ca="1" si="14"/>
        <v>0.93690248627613326</v>
      </c>
      <c r="P18" s="20">
        <f t="shared" ca="1" si="14"/>
        <v>0.92198321060535793</v>
      </c>
      <c r="Q18" s="20">
        <f t="shared" ca="1" si="14"/>
        <v>0.90738727979372535</v>
      </c>
      <c r="R18" s="20">
        <f t="shared" ca="1" si="14"/>
        <v>0.89310579983607796</v>
      </c>
      <c r="S18" s="20">
        <f t="shared" ca="1" si="14"/>
        <v>0.87913012938038992</v>
      </c>
      <c r="T18" s="20">
        <f t="shared" ca="1" si="14"/>
        <v>0.86545187501020826</v>
      </c>
      <c r="U18" s="20">
        <f t="shared" ca="1" si="14"/>
        <v>0.85206288630597227</v>
      </c>
      <c r="V18" s="20">
        <f t="shared" ca="1" si="14"/>
        <v>0.83895525072880017</v>
      </c>
      <c r="W18" s="20">
        <f t="shared" ca="1" si="14"/>
        <v>0.82612128836559195</v>
      </c>
      <c r="X18" s="20">
        <f t="shared" ca="1" si="14"/>
        <v>0.8135535465699979</v>
      </c>
      <c r="Y18" s="20">
        <f t="shared" ca="1" si="14"/>
        <v>0.8012447945299136</v>
      </c>
      <c r="Z18" s="20">
        <f t="shared" ca="1" si="14"/>
        <v>0.78918801778863656</v>
      </c>
      <c r="AA18" s="20">
        <f t="shared" ca="1" si="14"/>
        <v>0.77737641274363867</v>
      </c>
      <c r="AB18" s="20">
        <f t="shared" ca="1" si="14"/>
        <v>0.76580338114403101</v>
      </c>
      <c r="AC18" s="20">
        <f t="shared" ca="1" si="14"/>
        <v>0.75446252460520158</v>
      </c>
      <c r="AD18" s="20">
        <f t="shared" ca="1" si="14"/>
        <v>0.74334763915676605</v>
      </c>
      <c r="AE18" s="20">
        <f t="shared" ca="1" si="14"/>
        <v>0.73245270983786603</v>
      </c>
      <c r="AF18" s="20">
        <f t="shared" ca="1" si="14"/>
        <v>0.72177190535194868</v>
      </c>
      <c r="AG18" s="20">
        <f t="shared" ca="1" si="14"/>
        <v>0.71129957279146538</v>
      </c>
      <c r="AH18" s="20">
        <f t="shared" ca="1" si="14"/>
        <v>0.70103023244138574</v>
      </c>
      <c r="AI18" s="20">
        <f t="shared" ca="1" si="14"/>
        <v>0.69095857266906568</v>
      </c>
      <c r="AJ18" s="20">
        <f t="shared" ca="1" si="14"/>
        <v>0.68107944490676997</v>
      </c>
      <c r="AK18" s="20">
        <f t="shared" ca="1" si="14"/>
        <v>0.67138785873205875</v>
      </c>
      <c r="AL18" s="20">
        <f t="shared" ca="1" si="14"/>
        <v>0.66187897705026744</v>
      </c>
      <c r="AM18" s="20">
        <f t="shared" ca="1" si="14"/>
        <v>0.65254811138243651</v>
      </c>
      <c r="AN18" s="20">
        <f t="shared" ca="1" si="14"/>
        <v>0.64339071726127139</v>
      </c>
      <c r="AO18" s="20">
        <f t="shared" ca="1" si="14"/>
        <v>0.63440238973702934</v>
      </c>
      <c r="AP18" s="20">
        <f t="shared" ca="1" si="14"/>
        <v>0.62557885899461485</v>
      </c>
      <c r="AQ18" s="20">
        <f t="shared" ca="1" si="14"/>
        <v>0.61691598608263343</v>
      </c>
      <c r="AR18" s="20"/>
      <c r="AS18" s="20"/>
      <c r="AT18" s="20"/>
      <c r="AU18" s="20"/>
      <c r="AV18" s="20"/>
      <c r="AW18" s="20"/>
      <c r="AX18" s="20"/>
      <c r="AY18" s="50"/>
    </row>
    <row r="19" spans="3:51" x14ac:dyDescent="0.2">
      <c r="C19" s="13"/>
      <c r="D19" s="7"/>
      <c r="E19" s="22">
        <f t="shared" si="4"/>
        <v>9</v>
      </c>
      <c r="F19" s="21">
        <f t="shared" si="5"/>
        <v>2.25</v>
      </c>
      <c r="G19" s="4">
        <f t="shared" ca="1" si="6"/>
        <v>5.7213506368911461E-2</v>
      </c>
      <c r="H19" s="20">
        <f t="shared" ca="1" si="0"/>
        <v>0.31289305213251917</v>
      </c>
      <c r="I19" s="19">
        <f t="shared" ca="1" si="1"/>
        <v>0.34419250664153733</v>
      </c>
      <c r="J19" s="42">
        <f t="shared" ca="1" si="2"/>
        <v>-3.1299454509018165E-2</v>
      </c>
      <c r="K19" s="18"/>
      <c r="L19" s="49">
        <f t="shared" ref="L19:AP19" ca="1" si="15">L$50*EXP(-L$51*$G19)</f>
        <v>0.98582072097751139</v>
      </c>
      <c r="M19" s="20">
        <f t="shared" ca="1" si="15"/>
        <v>0.97188668399416223</v>
      </c>
      <c r="N19" s="20">
        <f t="shared" ca="1" si="15"/>
        <v>0.95819346082445467</v>
      </c>
      <c r="O19" s="20">
        <f t="shared" ca="1" si="15"/>
        <v>0.94473663265524122</v>
      </c>
      <c r="P19" s="20">
        <f t="shared" ca="1" si="15"/>
        <v>0.93151179864602063</v>
      </c>
      <c r="Q19" s="20">
        <f t="shared" ca="1" si="15"/>
        <v>0.91851458356320292</v>
      </c>
      <c r="R19" s="20">
        <f t="shared" ca="1" si="15"/>
        <v>0.90574064456494419</v>
      </c>
      <c r="S19" s="20">
        <f t="shared" ca="1" si="15"/>
        <v>0.89318567720752651</v>
      </c>
      <c r="T19" s="20">
        <f t="shared" ca="1" si="15"/>
        <v>0.8808454207390034</v>
      </c>
      <c r="U19" s="20">
        <f t="shared" ca="1" si="15"/>
        <v>0.86871566274092082</v>
      </c>
      <c r="V19" s="20">
        <f t="shared" ca="1" si="15"/>
        <v>0.85679224317433589</v>
      </c>
      <c r="W19" s="20">
        <f t="shared" ca="1" si="15"/>
        <v>0.84507105788208692</v>
      </c>
      <c r="X19" s="20">
        <f t="shared" ca="1" si="15"/>
        <v>0.83354806159528461</v>
      </c>
      <c r="Y19" s="20">
        <f t="shared" ca="1" si="15"/>
        <v>0.82221927048829402</v>
      </c>
      <c r="Z19" s="20">
        <f t="shared" ca="1" si="15"/>
        <v>0.81108076432302856</v>
      </c>
      <c r="AA19" s="20">
        <f t="shared" ca="1" si="15"/>
        <v>0.80012868822018113</v>
      </c>
      <c r="AB19" s="20">
        <f t="shared" ca="1" si="15"/>
        <v>0.78935925409204555</v>
      </c>
      <c r="AC19" s="20">
        <f t="shared" ca="1" si="15"/>
        <v>0.7787687417688266</v>
      </c>
      <c r="AD19" s="20">
        <f t="shared" ca="1" si="15"/>
        <v>0.76835349984777868</v>
      </c>
      <c r="AE19" s="20">
        <f t="shared" ca="1" si="15"/>
        <v>0.75810994629215023</v>
      </c>
      <c r="AF19" s="20">
        <f t="shared" ca="1" si="15"/>
        <v>0.74803456880471442</v>
      </c>
      <c r="AG19" s="20">
        <f t="shared" ca="1" si="15"/>
        <v>0.73812392499864143</v>
      </c>
      <c r="AH19" s="20">
        <f t="shared" ca="1" si="15"/>
        <v>0.728374642386586</v>
      </c>
      <c r="AI19" s="20">
        <f t="shared" ca="1" si="15"/>
        <v>0.71878341820713532</v>
      </c>
      <c r="AJ19" s="20">
        <f t="shared" ca="1" si="15"/>
        <v>0.70934701910615294</v>
      </c>
      <c r="AK19" s="20">
        <f t="shared" ca="1" si="15"/>
        <v>0.70006228068907805</v>
      </c>
      <c r="AL19" s="20">
        <f t="shared" ca="1" si="15"/>
        <v>0.69092610695887025</v>
      </c>
      <c r="AM19" s="20">
        <f t="shared" ca="1" si="15"/>
        <v>0.68193546965303065</v>
      </c>
      <c r="AN19" s="20">
        <f t="shared" ca="1" si="15"/>
        <v>0.67308740749196561</v>
      </c>
      <c r="AO19" s="20">
        <f t="shared" ca="1" si="15"/>
        <v>0.66437902534988802</v>
      </c>
      <c r="AP19" s="20">
        <f t="shared" ca="1" si="15"/>
        <v>0.65580749335846267</v>
      </c>
      <c r="AQ19" s="20"/>
      <c r="AR19" s="20"/>
      <c r="AS19" s="20"/>
      <c r="AT19" s="20"/>
      <c r="AU19" s="20"/>
      <c r="AV19" s="20"/>
      <c r="AW19" s="20"/>
      <c r="AX19" s="20"/>
      <c r="AY19" s="50"/>
    </row>
    <row r="20" spans="3:51" x14ac:dyDescent="0.2">
      <c r="C20" s="13"/>
      <c r="D20" s="7"/>
      <c r="E20" s="22">
        <f t="shared" si="4"/>
        <v>10</v>
      </c>
      <c r="F20" s="21">
        <f t="shared" si="5"/>
        <v>2.5</v>
      </c>
      <c r="G20" s="4">
        <f t="shared" ca="1" si="6"/>
        <v>5.4369933223934373E-2</v>
      </c>
      <c r="H20" s="20">
        <f t="shared" ca="1" si="0"/>
        <v>0.30720054643212635</v>
      </c>
      <c r="I20" s="19">
        <f t="shared" ca="1" si="1"/>
        <v>0.32557771458789919</v>
      </c>
      <c r="J20" s="42">
        <f t="shared" ca="1" si="2"/>
        <v>-1.8377168155772838E-2</v>
      </c>
      <c r="K20" s="18"/>
      <c r="L20" s="49">
        <f t="shared" ref="L20:AO20" ca="1" si="16">L$50*EXP(-L$51*$G20)</f>
        <v>0.98651308971117324</v>
      </c>
      <c r="M20" s="20">
        <f t="shared" ca="1" si="16"/>
        <v>0.97323545771809095</v>
      </c>
      <c r="N20" s="20">
        <f t="shared" ca="1" si="16"/>
        <v>0.96016425310129694</v>
      </c>
      <c r="O20" s="20">
        <f t="shared" ca="1" si="16"/>
        <v>0.94729656868790757</v>
      </c>
      <c r="P20" s="20">
        <f t="shared" ca="1" si="16"/>
        <v>0.93462945205064318</v>
      </c>
      <c r="Q20" s="20">
        <f t="shared" ca="1" si="16"/>
        <v>0.92215991552862697</v>
      </c>
      <c r="R20" s="20">
        <f t="shared" ca="1" si="16"/>
        <v>0.90988494534256092</v>
      </c>
      <c r="S20" s="20">
        <f t="shared" ca="1" si="16"/>
        <v>0.89780150987210261</v>
      </c>
      <c r="T20" s="20">
        <f t="shared" ca="1" si="16"/>
        <v>0.88590656715875737</v>
      </c>
      <c r="U20" s="20">
        <f t="shared" ca="1" si="16"/>
        <v>0.87419707169331984</v>
      </c>
      <c r="V20" s="20">
        <f t="shared" ca="1" si="16"/>
        <v>0.86266998054289079</v>
      </c>
      <c r="W20" s="20">
        <f t="shared" ca="1" si="16"/>
        <v>0.85132225886870339</v>
      </c>
      <c r="X20" s="20">
        <f t="shared" ca="1" si="16"/>
        <v>0.8401508848824405</v>
      </c>
      <c r="Y20" s="20">
        <f t="shared" ca="1" si="16"/>
        <v>0.82915285428538144</v>
      </c>
      <c r="Z20" s="20">
        <f t="shared" ca="1" si="16"/>
        <v>0.81832518423158906</v>
      </c>
      <c r="AA20" s="20">
        <f t="shared" ca="1" si="16"/>
        <v>0.80766491685340969</v>
      </c>
      <c r="AB20" s="20">
        <f t="shared" ca="1" si="16"/>
        <v>0.79716912238481608</v>
      </c>
      <c r="AC20" s="20">
        <f t="shared" ca="1" si="16"/>
        <v>0.78683490191555339</v>
      </c>
      <c r="AD20" s="20">
        <f t="shared" ca="1" si="16"/>
        <v>0.77665938980664817</v>
      </c>
      <c r="AE20" s="20">
        <f t="shared" ca="1" si="16"/>
        <v>0.7666397557956024</v>
      </c>
      <c r="AF20" s="20">
        <f t="shared" ca="1" si="16"/>
        <v>0.7567732068175006</v>
      </c>
      <c r="AG20" s="20">
        <f t="shared" ca="1" si="16"/>
        <v>0.74705698856631342</v>
      </c>
      <c r="AH20" s="20">
        <f t="shared" ca="1" si="16"/>
        <v>0.73748838681886075</v>
      </c>
      <c r="AI20" s="20">
        <f t="shared" ca="1" si="16"/>
        <v>0.72806472854221094</v>
      </c>
      <c r="AJ20" s="20">
        <f t="shared" ca="1" si="16"/>
        <v>0.71878338280371401</v>
      </c>
      <c r="AK20" s="20">
        <f t="shared" ca="1" si="16"/>
        <v>0.70964176150140867</v>
      </c>
      <c r="AL20" s="20">
        <f t="shared" ca="1" si="16"/>
        <v>0.70063731993117673</v>
      </c>
      <c r="AM20" s="20">
        <f t="shared" ca="1" si="16"/>
        <v>0.69176755720575689</v>
      </c>
      <c r="AN20" s="20">
        <f t="shared" ca="1" si="16"/>
        <v>0.68303001653955553</v>
      </c>
      <c r="AO20" s="20">
        <f t="shared" ca="1" si="16"/>
        <v>0.67442228541210081</v>
      </c>
      <c r="AP20" s="20"/>
      <c r="AQ20" s="20"/>
      <c r="AR20" s="20"/>
      <c r="AS20" s="20"/>
      <c r="AT20" s="20"/>
      <c r="AU20" s="20"/>
      <c r="AV20" s="20"/>
      <c r="AW20" s="20"/>
      <c r="AX20" s="20"/>
      <c r="AY20" s="50"/>
    </row>
    <row r="21" spans="3:51" x14ac:dyDescent="0.2">
      <c r="C21" s="13"/>
      <c r="D21" s="7"/>
      <c r="E21" s="22">
        <f t="shared" si="4"/>
        <v>11</v>
      </c>
      <c r="F21" s="21">
        <f t="shared" si="5"/>
        <v>2.75</v>
      </c>
      <c r="G21" s="4">
        <f t="shared" ca="1" si="6"/>
        <v>5.9233953628773123E-2</v>
      </c>
      <c r="H21" s="20">
        <f t="shared" ca="1" si="0"/>
        <v>0.29471464092686789</v>
      </c>
      <c r="I21" s="19">
        <f t="shared" ca="1" si="1"/>
        <v>0.33388904983976819</v>
      </c>
      <c r="J21" s="42">
        <f t="shared" ca="1" si="2"/>
        <v>-3.9174408912900305E-2</v>
      </c>
      <c r="K21" s="18"/>
      <c r="L21" s="49">
        <f t="shared" ref="L21:AN21" ca="1" si="17">L$50*EXP(-L$51*$G21)</f>
        <v>0.98532906674899223</v>
      </c>
      <c r="M21" s="20">
        <f t="shared" ca="1" si="17"/>
        <v>0.97092947432967602</v>
      </c>
      <c r="N21" s="20">
        <f t="shared" ca="1" si="17"/>
        <v>0.95679561025167292</v>
      </c>
      <c r="O21" s="20">
        <f t="shared" ca="1" si="17"/>
        <v>0.94292192343102821</v>
      </c>
      <c r="P21" s="20">
        <f t="shared" ca="1" si="17"/>
        <v>0.92930293061983071</v>
      </c>
      <c r="Q21" s="20">
        <f t="shared" ca="1" si="17"/>
        <v>0.91593322197450588</v>
      </c>
      <c r="R21" s="20">
        <f t="shared" ca="1" si="17"/>
        <v>0.90280746584045379</v>
      </c>
      <c r="S21" s="20">
        <f t="shared" ca="1" si="17"/>
        <v>0.88992041282458512</v>
      </c>
      <c r="T21" s="20">
        <f t="shared" ca="1" si="17"/>
        <v>0.87726689922161827</v>
      </c>
      <c r="U21" s="20">
        <f t="shared" ca="1" si="17"/>
        <v>0.86484184985471013</v>
      </c>
      <c r="V21" s="20">
        <f t="shared" ca="1" si="17"/>
        <v>0.85264028038610529</v>
      </c>
      <c r="W21" s="20">
        <f t="shared" ca="1" si="17"/>
        <v>0.84065729914894238</v>
      </c>
      <c r="X21" s="20">
        <f t="shared" ca="1" si="17"/>
        <v>0.82888810854715533</v>
      </c>
      <c r="Y21" s="20">
        <f t="shared" ca="1" si="17"/>
        <v>0.81732800606652212</v>
      </c>
      <c r="Z21" s="20">
        <f t="shared" ca="1" si="17"/>
        <v>0.80597238493631673</v>
      </c>
      <c r="AA21" s="20">
        <f t="shared" ca="1" si="17"/>
        <v>0.79481673447770262</v>
      </c>
      <c r="AB21" s="20">
        <f t="shared" ca="1" si="17"/>
        <v>0.78385664017193668</v>
      </c>
      <c r="AC21" s="20">
        <f t="shared" ca="1" si="17"/>
        <v>0.77308778347863161</v>
      </c>
      <c r="AD21" s="20">
        <f t="shared" ca="1" si="17"/>
        <v>0.76250594143170924</v>
      </c>
      <c r="AE21" s="20">
        <f t="shared" ca="1" si="17"/>
        <v>0.75210698603828086</v>
      </c>
      <c r="AF21" s="20">
        <f t="shared" ca="1" si="17"/>
        <v>0.74188688350347343</v>
      </c>
      <c r="AG21" s="20">
        <f t="shared" ca="1" si="17"/>
        <v>0.7318416933021854</v>
      </c>
      <c r="AH21" s="20">
        <f t="shared" ca="1" si="17"/>
        <v>0.72196756711688226</v>
      </c>
      <c r="AI21" s="20">
        <f t="shared" ca="1" si="17"/>
        <v>0.71226074765881653</v>
      </c>
      <c r="AJ21" s="20">
        <f t="shared" ca="1" si="17"/>
        <v>0.70271756738847513</v>
      </c>
      <c r="AK21" s="20">
        <f t="shared" ca="1" si="17"/>
        <v>0.69333444714960346</v>
      </c>
      <c r="AL21" s="20">
        <f t="shared" ca="1" si="17"/>
        <v>0.68410789472981459</v>
      </c>
      <c r="AM21" s="20">
        <f t="shared" ca="1" si="17"/>
        <v>0.67503450335957571</v>
      </c>
      <c r="AN21" s="20">
        <f t="shared" ca="1" si="17"/>
        <v>0.66611095016023181</v>
      </c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50"/>
    </row>
    <row r="22" spans="3:51" x14ac:dyDescent="0.2">
      <c r="C22" s="13"/>
      <c r="D22" s="7"/>
      <c r="E22" s="22">
        <f t="shared" si="4"/>
        <v>12</v>
      </c>
      <c r="F22" s="21">
        <f t="shared" si="5"/>
        <v>3</v>
      </c>
      <c r="G22" s="4">
        <f t="shared" ca="1" si="6"/>
        <v>5.666004365461165E-2</v>
      </c>
      <c r="H22" s="20">
        <f t="shared" ca="1" si="0"/>
        <v>0.28841432959287311</v>
      </c>
      <c r="I22" s="19">
        <f t="shared" ca="1" si="1"/>
        <v>0.31616186373449562</v>
      </c>
      <c r="J22" s="42">
        <f t="shared" ca="1" si="2"/>
        <v>-2.774753414162251E-2</v>
      </c>
      <c r="K22" s="18"/>
      <c r="L22" s="49">
        <f t="shared" ref="L22:AM22" ca="1" si="18">L$50*EXP(-L$51*$G22)</f>
        <v>0.9859554430086741</v>
      </c>
      <c r="M22" s="20">
        <f t="shared" ca="1" si="18"/>
        <v>0.97214905781271932</v>
      </c>
      <c r="N22" s="20">
        <f t="shared" ca="1" si="18"/>
        <v>0.95857673134585186</v>
      </c>
      <c r="O22" s="20">
        <f t="shared" ca="1" si="18"/>
        <v>0.94523434649288152</v>
      </c>
      <c r="P22" s="20">
        <f t="shared" ca="1" si="18"/>
        <v>0.93211779117489901</v>
      </c>
      <c r="Q22" s="20">
        <f t="shared" ca="1" si="18"/>
        <v>0.91922296649483637</v>
      </c>
      <c r="R22" s="20">
        <f t="shared" ca="1" si="18"/>
        <v>0.90654579401943769</v>
      </c>
      <c r="S22" s="20">
        <f t="shared" ca="1" si="18"/>
        <v>0.89408222226820455</v>
      </c>
      <c r="T22" s="20">
        <f t="shared" ca="1" si="18"/>
        <v>0.88182823247476183</v>
      </c>
      <c r="U22" s="20">
        <f t="shared" ca="1" si="18"/>
        <v>0.86977984368128902</v>
      </c>
      <c r="V22" s="20">
        <f t="shared" ca="1" si="18"/>
        <v>0.85793311722217924</v>
      </c>
      <c r="W22" s="20">
        <f t="shared" ca="1" si="18"/>
        <v>0.84628416064890166</v>
      </c>
      <c r="X22" s="20">
        <f t="shared" ca="1" si="18"/>
        <v>0.83482913114413448</v>
      </c>
      <c r="Y22" s="20">
        <f t="shared" ca="1" si="18"/>
        <v>0.82356423846959381</v>
      </c>
      <c r="Z22" s="20">
        <f t="shared" ca="1" si="18"/>
        <v>0.81248574748859292</v>
      </c>
      <c r="AA22" s="20">
        <f t="shared" ca="1" si="18"/>
        <v>0.80158998030121009</v>
      </c>
      <c r="AB22" s="20">
        <f t="shared" ca="1" si="18"/>
        <v>0.79087331802700522</v>
      </c>
      <c r="AC22" s="20">
        <f t="shared" ca="1" si="18"/>
        <v>0.78033220226750621</v>
      </c>
      <c r="AD22" s="20">
        <f t="shared" ca="1" si="18"/>
        <v>0.76996313627814339</v>
      </c>
      <c r="AE22" s="20">
        <f t="shared" ca="1" si="18"/>
        <v>0.75976268587697171</v>
      </c>
      <c r="AF22" s="20">
        <f t="shared" ca="1" si="18"/>
        <v>0.74972748011533408</v>
      </c>
      <c r="AG22" s="20">
        <f t="shared" ca="1" si="18"/>
        <v>0.73985421173360166</v>
      </c>
      <c r="AH22" s="20">
        <f t="shared" ca="1" si="18"/>
        <v>0.7301396374232586</v>
      </c>
      <c r="AI22" s="20">
        <f t="shared" ca="1" si="18"/>
        <v>0.72058057791486518</v>
      </c>
      <c r="AJ22" s="20">
        <f t="shared" ca="1" si="18"/>
        <v>0.7111739179098292</v>
      </c>
      <c r="AK22" s="20">
        <f t="shared" ca="1" si="18"/>
        <v>0.70191660587243754</v>
      </c>
      <c r="AL22" s="20">
        <f t="shared" ca="1" si="18"/>
        <v>0.69280565369722658</v>
      </c>
      <c r="AM22" s="20">
        <f t="shared" ca="1" si="18"/>
        <v>0.68383813626550438</v>
      </c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50"/>
    </row>
    <row r="23" spans="3:51" x14ac:dyDescent="0.2">
      <c r="C23" s="13"/>
      <c r="D23" s="7"/>
      <c r="E23" s="22">
        <f t="shared" si="4"/>
        <v>13</v>
      </c>
      <c r="F23" s="21">
        <f t="shared" si="5"/>
        <v>3.25</v>
      </c>
      <c r="G23" s="4">
        <f t="shared" ca="1" si="6"/>
        <v>5.5767155789535991E-2</v>
      </c>
      <c r="H23" s="20">
        <f t="shared" ca="1" si="0"/>
        <v>0.28053495526185906</v>
      </c>
      <c r="I23" s="19">
        <f t="shared" ca="1" si="1"/>
        <v>0.30415133550577966</v>
      </c>
      <c r="J23" s="42">
        <f t="shared" ca="1" si="2"/>
        <v>-2.3616380243920598E-2</v>
      </c>
      <c r="K23" s="18"/>
      <c r="L23" s="49">
        <f t="shared" ref="L23:AL23" ca="1" si="19">L$50*EXP(-L$51*$G23)</f>
        <v>0.98617282557869079</v>
      </c>
      <c r="M23" s="20">
        <f t="shared" ca="1" si="19"/>
        <v>0.97257248839759824</v>
      </c>
      <c r="N23" s="20">
        <f t="shared" ca="1" si="19"/>
        <v>0.95919537549648426</v>
      </c>
      <c r="O23" s="20">
        <f t="shared" ca="1" si="19"/>
        <v>0.94603784884703634</v>
      </c>
      <c r="P23" s="20">
        <f t="shared" ca="1" si="19"/>
        <v>0.93309625523307682</v>
      </c>
      <c r="Q23" s="20">
        <f t="shared" ca="1" si="19"/>
        <v>0.92036693517278012</v>
      </c>
      <c r="R23" s="20">
        <f t="shared" ca="1" si="19"/>
        <v>0.90784623095780181</v>
      </c>
      <c r="S23" s="20">
        <f t="shared" ca="1" si="19"/>
        <v>0.89553049387900796</v>
      </c>
      <c r="T23" s="20">
        <f t="shared" ca="1" si="19"/>
        <v>0.88341609070360394</v>
      </c>
      <c r="U23" s="20">
        <f t="shared" ca="1" si="19"/>
        <v>0.87149940946385218</v>
      </c>
      <c r="V23" s="20">
        <f t="shared" ca="1" si="19"/>
        <v>0.85977686461326575</v>
      </c>
      <c r="W23" s="20">
        <f t="shared" ca="1" si="19"/>
        <v>0.84824490160211619</v>
      </c>
      <c r="X23" s="20">
        <f t="shared" ca="1" si="19"/>
        <v>0.83690000092032268</v>
      </c>
      <c r="Y23" s="20">
        <f t="shared" ca="1" si="19"/>
        <v>0.82573868165224928</v>
      </c>
      <c r="Z23" s="20">
        <f t="shared" ca="1" si="19"/>
        <v>0.81475750458464669</v>
      </c>
      <c r="AA23" s="20">
        <f t="shared" ca="1" si="19"/>
        <v>0.80395307490588852</v>
      </c>
      <c r="AB23" s="20">
        <f t="shared" ca="1" si="19"/>
        <v>0.79332204453179378</v>
      </c>
      <c r="AC23" s="20">
        <f t="shared" ca="1" si="19"/>
        <v>0.78286111409064474</v>
      </c>
      <c r="AD23" s="20">
        <f t="shared" ca="1" si="19"/>
        <v>0.77256703459752996</v>
      </c>
      <c r="AE23" s="20">
        <f t="shared" ca="1" si="19"/>
        <v>0.76243660884582587</v>
      </c>
      <c r="AF23" s="20">
        <f t="shared" ca="1" si="19"/>
        <v>0.75246669254147891</v>
      </c>
      <c r="AG23" s="20">
        <f t="shared" ca="1" si="19"/>
        <v>0.7426541952037552</v>
      </c>
      <c r="AH23" s="20">
        <f t="shared" ca="1" si="19"/>
        <v>0.73299608085426926</v>
      </c>
      <c r="AI23" s="20">
        <f t="shared" ca="1" si="19"/>
        <v>0.72348936851437884</v>
      </c>
      <c r="AJ23" s="20">
        <f t="shared" ca="1" si="19"/>
        <v>0.71413113252944393</v>
      </c>
      <c r="AK23" s="20">
        <f t="shared" ca="1" si="19"/>
        <v>0.70491850273696111</v>
      </c>
      <c r="AL23" s="20">
        <f t="shared" ca="1" si="19"/>
        <v>0.69584866449422034</v>
      </c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50"/>
    </row>
    <row r="24" spans="3:51" x14ac:dyDescent="0.2">
      <c r="C24" s="13"/>
      <c r="D24" s="7"/>
      <c r="E24" s="22">
        <f t="shared" si="4"/>
        <v>14</v>
      </c>
      <c r="F24" s="21">
        <f t="shared" si="5"/>
        <v>3.5</v>
      </c>
      <c r="G24" s="4">
        <f t="shared" ca="1" si="6"/>
        <v>5.3896471772662199E-2</v>
      </c>
      <c r="H24" s="20">
        <f t="shared" ca="1" si="0"/>
        <v>0.27316400920270983</v>
      </c>
      <c r="I24" s="19">
        <f t="shared" ca="1" si="1"/>
        <v>0.28875055122060345</v>
      </c>
      <c r="J24" s="42">
        <f t="shared" ca="1" si="2"/>
        <v>-1.5586542017893612E-2</v>
      </c>
      <c r="K24" s="18"/>
      <c r="L24" s="49">
        <f t="shared" ref="L24:AK24" ca="1" si="20">L$50*EXP(-L$51*$G24)</f>
        <v>0.98662841790719591</v>
      </c>
      <c r="M24" s="20">
        <f t="shared" ca="1" si="20"/>
        <v>0.97346021334369093</v>
      </c>
      <c r="N24" s="20">
        <f t="shared" ca="1" si="20"/>
        <v>0.96049278795591608</v>
      </c>
      <c r="O24" s="20">
        <f t="shared" ca="1" si="20"/>
        <v>0.94772347703576687</v>
      </c>
      <c r="P24" s="20">
        <f t="shared" ca="1" si="20"/>
        <v>0.93514956086489187</v>
      </c>
      <c r="Q24" s="20">
        <f t="shared" ca="1" si="20"/>
        <v>0.92276827507615267</v>
      </c>
      <c r="R24" s="20">
        <f t="shared" ca="1" si="20"/>
        <v>0.91057682010394991</v>
      </c>
      <c r="S24" s="20">
        <f t="shared" ca="1" si="20"/>
        <v>0.89857236979048238</v>
      </c>
      <c r="T24" s="20">
        <f t="shared" ca="1" si="20"/>
        <v>0.8867520792106226</v>
      </c>
      <c r="U24" s="20">
        <f t="shared" ca="1" si="20"/>
        <v>0.87511309177393881</v>
      </c>
      <c r="V24" s="20">
        <f t="shared" ca="1" si="20"/>
        <v>0.86365254565848582</v>
      </c>
      <c r="W24" s="20">
        <f t="shared" ca="1" si="20"/>
        <v>0.85236757962728771</v>
      </c>
      <c r="X24" s="20">
        <f t="shared" ca="1" si="20"/>
        <v>0.84125533827496624</v>
      </c>
      <c r="Y24" s="20">
        <f t="shared" ca="1" si="20"/>
        <v>0.83031297674869464</v>
      </c>
      <c r="Z24" s="20">
        <f t="shared" ca="1" si="20"/>
        <v>0.81953766498459157</v>
      </c>
      <c r="AA24" s="20">
        <f t="shared" ca="1" si="20"/>
        <v>0.8089265914977849</v>
      </c>
      <c r="AB24" s="20">
        <f t="shared" ca="1" si="20"/>
        <v>0.79847696676167934</v>
      </c>
      <c r="AC24" s="20">
        <f t="shared" ca="1" si="20"/>
        <v>0.78818602620943357</v>
      </c>
      <c r="AD24" s="20">
        <f t="shared" ca="1" si="20"/>
        <v>0.77805103288828048</v>
      </c>
      <c r="AE24" s="20">
        <f t="shared" ca="1" si="20"/>
        <v>0.76806927979512407</v>
      </c>
      <c r="AF24" s="20">
        <f t="shared" ca="1" si="20"/>
        <v>0.75823809191976987</v>
      </c>
      <c r="AG24" s="20">
        <f t="shared" ca="1" si="20"/>
        <v>0.74855482802022399</v>
      </c>
      <c r="AH24" s="20">
        <f t="shared" ca="1" si="20"/>
        <v>0.73901688215269368</v>
      </c>
      <c r="AI24" s="20">
        <f t="shared" ca="1" si="20"/>
        <v>0.72962168497724489</v>
      </c>
      <c r="AJ24" s="20">
        <f t="shared" ca="1" si="20"/>
        <v>0.72036670485851206</v>
      </c>
      <c r="AK24" s="20">
        <f t="shared" ca="1" si="20"/>
        <v>0.71124944877939655</v>
      </c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50"/>
    </row>
    <row r="25" spans="3:51" x14ac:dyDescent="0.2">
      <c r="C25" s="13"/>
      <c r="D25" s="7"/>
      <c r="E25" s="22">
        <f t="shared" si="4"/>
        <v>15</v>
      </c>
      <c r="F25" s="21">
        <f t="shared" si="5"/>
        <v>3.75</v>
      </c>
      <c r="G25" s="4">
        <f t="shared" ca="1" si="6"/>
        <v>5.4515301343504526E-2</v>
      </c>
      <c r="H25" s="20">
        <f t="shared" ca="1" si="0"/>
        <v>0.26385970580819723</v>
      </c>
      <c r="I25" s="19">
        <f t="shared" ca="1" si="1"/>
        <v>0.28170205011871829</v>
      </c>
      <c r="J25" s="42">
        <f t="shared" ca="1" si="2"/>
        <v>-1.7842344310521063E-2</v>
      </c>
      <c r="K25" s="18"/>
      <c r="L25" s="49">
        <f t="shared" ref="L25:AJ25" ca="1" si="21">L$50*EXP(-L$51*$G25)</f>
        <v>0.98647768289563909</v>
      </c>
      <c r="M25" s="20">
        <f t="shared" ca="1" si="21"/>
        <v>0.97316646081767999</v>
      </c>
      <c r="N25" s="20">
        <f t="shared" ca="1" si="21"/>
        <v>0.96006340472725216</v>
      </c>
      <c r="O25" s="20">
        <f t="shared" ca="1" si="21"/>
        <v>0.94716553248051905</v>
      </c>
      <c r="P25" s="20">
        <f t="shared" ca="1" si="21"/>
        <v>0.93446981971830123</v>
      </c>
      <c r="Q25" s="20">
        <f t="shared" ca="1" si="21"/>
        <v>0.92197320977910413</v>
      </c>
      <c r="R25" s="20">
        <f t="shared" ca="1" si="21"/>
        <v>0.90967262270842608</v>
      </c>
      <c r="S25" s="20">
        <f t="shared" ca="1" si="21"/>
        <v>0.89756496343239378</v>
      </c>
      <c r="T25" s="20">
        <f t="shared" ca="1" si="21"/>
        <v>0.88564712915921617</v>
      </c>
      <c r="U25" s="20">
        <f t="shared" ca="1" si="21"/>
        <v>0.87391601606763736</v>
      </c>
      <c r="V25" s="20">
        <f t="shared" ca="1" si="21"/>
        <v>0.86236852533752717</v>
      </c>
      <c r="W25" s="20">
        <f t="shared" ca="1" si="21"/>
        <v>0.85100156857392717</v>
      </c>
      <c r="X25" s="20">
        <f t="shared" ca="1" si="21"/>
        <v>0.83981207267229563</v>
      </c>
      <c r="Y25" s="20">
        <f t="shared" ca="1" si="21"/>
        <v>0.82879698416932723</v>
      </c>
      <c r="Z25" s="20">
        <f t="shared" ca="1" si="21"/>
        <v>0.81795327312058119</v>
      </c>
      <c r="AA25" s="20">
        <f t="shared" ca="1" si="21"/>
        <v>0.80727793654319369</v>
      </c>
      <c r="AB25" s="20">
        <f t="shared" ca="1" si="21"/>
        <v>0.79676800145919691</v>
      </c>
      <c r="AC25" s="20">
        <f t="shared" ca="1" si="21"/>
        <v>0.78642052757238212</v>
      </c>
      <c r="AD25" s="20">
        <f t="shared" ca="1" si="21"/>
        <v>0.77623260960923879</v>
      </c>
      <c r="AE25" s="20">
        <f t="shared" ca="1" si="21"/>
        <v>0.76620137935224897</v>
      </c>
      <c r="AF25" s="20">
        <f t="shared" ca="1" si="21"/>
        <v>0.75632400739172245</v>
      </c>
      <c r="AG25" s="20">
        <f t="shared" ca="1" si="21"/>
        <v>0.74659770462039932</v>
      </c>
      <c r="AH25" s="20">
        <f t="shared" ca="1" si="21"/>
        <v>0.73701972349323186</v>
      </c>
      <c r="AI25" s="20">
        <f t="shared" ca="1" si="21"/>
        <v>0.72758735907305438</v>
      </c>
      <c r="AJ25" s="20">
        <f t="shared" ca="1" si="21"/>
        <v>0.71829794988128171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50"/>
    </row>
    <row r="26" spans="3:51" x14ac:dyDescent="0.2">
      <c r="C26" s="13"/>
      <c r="D26" s="7"/>
      <c r="E26" s="22">
        <f t="shared" si="4"/>
        <v>16</v>
      </c>
      <c r="F26" s="21">
        <f t="shared" si="5"/>
        <v>4</v>
      </c>
      <c r="G26" s="4">
        <f t="shared" ca="1" si="6"/>
        <v>4.1481422887367184E-2</v>
      </c>
      <c r="H26" s="20">
        <f t="shared" ca="1" si="0"/>
        <v>0.26321053894259611</v>
      </c>
      <c r="I26" s="19">
        <f t="shared" ca="1" si="1"/>
        <v>0.22834202368322709</v>
      </c>
      <c r="J26" s="42">
        <f t="shared" ca="1" si="2"/>
        <v>3.4868515259369015E-2</v>
      </c>
      <c r="K26" s="18"/>
      <c r="L26" s="49">
        <f t="shared" ref="L26:AI26" ca="1" si="22">L$50*EXP(-L$51*$G26)</f>
        <v>0.98965735657948573</v>
      </c>
      <c r="M26" s="20">
        <f t="shared" ca="1" si="22"/>
        <v>0.97937228904792284</v>
      </c>
      <c r="N26" s="20">
        <f t="shared" ca="1" si="22"/>
        <v>0.96914782558656787</v>
      </c>
      <c r="O26" s="20">
        <f t="shared" ca="1" si="22"/>
        <v>0.9589867419188759</v>
      </c>
      <c r="P26" s="20">
        <f t="shared" ca="1" si="22"/>
        <v>0.94889157631728205</v>
      </c>
      <c r="Q26" s="20">
        <f t="shared" ca="1" si="22"/>
        <v>0.93886464383530066</v>
      </c>
      <c r="R26" s="20">
        <f t="shared" ca="1" si="22"/>
        <v>0.92890804979617769</v>
      </c>
      <c r="S26" s="20">
        <f t="shared" ca="1" si="22"/>
        <v>0.91902370256908184</v>
      </c>
      <c r="T26" s="20">
        <f t="shared" ca="1" si="22"/>
        <v>0.9092133256634134</v>
      </c>
      <c r="U26" s="20">
        <f t="shared" ca="1" si="22"/>
        <v>0.89947846917128216</v>
      </c>
      <c r="V26" s="20">
        <f t="shared" ca="1" si="22"/>
        <v>0.88982052058757732</v>
      </c>
      <c r="W26" s="20">
        <f t="shared" ca="1" si="22"/>
        <v>0.88024071503633894</v>
      </c>
      <c r="X26" s="20">
        <f t="shared" ca="1" si="22"/>
        <v>0.87074014493136465</v>
      </c>
      <c r="Y26" s="20">
        <f t="shared" ca="1" si="22"/>
        <v>0.86131976909815455</v>
      </c>
      <c r="Z26" s="20">
        <f t="shared" ca="1" si="22"/>
        <v>0.85198042138343211</v>
      </c>
      <c r="AA26" s="20">
        <f t="shared" ca="1" si="22"/>
        <v>0.8427228187775806</v>
      </c>
      <c r="AB26" s="20">
        <f t="shared" ca="1" si="22"/>
        <v>0.8335475690744274</v>
      </c>
      <c r="AC26" s="20">
        <f t="shared" ca="1" si="22"/>
        <v>0.82445517809188285</v>
      </c>
      <c r="AD26" s="20">
        <f t="shared" ca="1" si="22"/>
        <v>0.81544605647601942</v>
      </c>
      <c r="AE26" s="20">
        <f t="shared" ca="1" si="22"/>
        <v>0.80652052611025493</v>
      </c>
      <c r="AF26" s="20">
        <f t="shared" ca="1" si="22"/>
        <v>0.79767882615039265</v>
      </c>
      <c r="AG26" s="20">
        <f t="shared" ca="1" si="22"/>
        <v>0.78892111870537507</v>
      </c>
      <c r="AH26" s="20">
        <f t="shared" ca="1" si="22"/>
        <v>0.78024749418272321</v>
      </c>
      <c r="AI26" s="20">
        <f t="shared" ca="1" si="22"/>
        <v>0.77165797631677291</v>
      </c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50"/>
    </row>
    <row r="27" spans="3:51" x14ac:dyDescent="0.2">
      <c r="C27" s="13"/>
      <c r="D27" s="7"/>
      <c r="E27" s="22">
        <f t="shared" si="4"/>
        <v>17</v>
      </c>
      <c r="F27" s="21">
        <f t="shared" si="5"/>
        <v>4.25</v>
      </c>
      <c r="G27" s="4">
        <f t="shared" ca="1" si="6"/>
        <v>4.1106661063484963E-2</v>
      </c>
      <c r="H27" s="20">
        <f t="shared" ca="1" si="0"/>
        <v>0.25379306789587747</v>
      </c>
      <c r="I27" s="19">
        <f t="shared" ca="1" si="1"/>
        <v>0.21847277602279858</v>
      </c>
      <c r="J27" s="42">
        <f t="shared" ca="1" si="2"/>
        <v>3.5320291873078891E-2</v>
      </c>
      <c r="K27" s="18"/>
      <c r="L27" s="49">
        <f t="shared" ref="L27:AH27" ca="1" si="23">L$50*EXP(-L$51*$G27)</f>
        <v>0.98974893284545107</v>
      </c>
      <c r="M27" s="20">
        <f t="shared" ca="1" si="23"/>
        <v>0.97955130870681628</v>
      </c>
      <c r="N27" s="20">
        <f t="shared" ca="1" si="23"/>
        <v>0.96941029649568056</v>
      </c>
      <c r="O27" s="20">
        <f t="shared" ca="1" si="23"/>
        <v>0.9593288092569171</v>
      </c>
      <c r="P27" s="20">
        <f t="shared" ca="1" si="23"/>
        <v>0.94930951914409178</v>
      </c>
      <c r="Q27" s="20">
        <f t="shared" ca="1" si="23"/>
        <v>0.93935487163422837</v>
      </c>
      <c r="R27" s="20">
        <f t="shared" ca="1" si="23"/>
        <v>0.92946709901165347</v>
      </c>
      <c r="S27" s="20">
        <f t="shared" ca="1" si="23"/>
        <v>0.91964823315051125</v>
      </c>
      <c r="T27" s="20">
        <f t="shared" ca="1" si="23"/>
        <v>0.9099001176252558</v>
      </c>
      <c r="U27" s="20">
        <f t="shared" ca="1" si="23"/>
        <v>0.90022441917800666</v>
      </c>
      <c r="V27" s="20">
        <f t="shared" ca="1" si="23"/>
        <v>0.89062263857112856</v>
      </c>
      <c r="W27" s="20">
        <f t="shared" ca="1" si="23"/>
        <v>0.88109612085277877</v>
      </c>
      <c r="X27" s="20">
        <f t="shared" ca="1" si="23"/>
        <v>0.87164606506247522</v>
      </c>
      <c r="Y27" s="20">
        <f t="shared" ca="1" si="23"/>
        <v>0.86227353340298774</v>
      </c>
      <c r="Z27" s="20">
        <f t="shared" ca="1" si="23"/>
        <v>0.85297945990406576</v>
      </c>
      <c r="AA27" s="20">
        <f t="shared" ca="1" si="23"/>
        <v>0.84376465860268668</v>
      </c>
      <c r="AB27" s="20">
        <f t="shared" ca="1" si="23"/>
        <v>0.83462983126366219</v>
      </c>
      <c r="AC27" s="20">
        <f t="shared" ca="1" si="23"/>
        <v>0.82557557466357467</v>
      </c>
      <c r="AD27" s="20">
        <f t="shared" ca="1" si="23"/>
        <v>0.81660238746014613</v>
      </c>
      <c r="AE27" s="20">
        <f t="shared" ca="1" si="23"/>
        <v>0.80771067666827134</v>
      </c>
      <c r="AF27" s="20">
        <f t="shared" ca="1" si="23"/>
        <v>0.79890076376307861</v>
      </c>
      <c r="AG27" s="20">
        <f t="shared" ca="1" si="23"/>
        <v>0.79017289042952688</v>
      </c>
      <c r="AH27" s="20">
        <f t="shared" ca="1" si="23"/>
        <v>0.78152722397720142</v>
      </c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50"/>
    </row>
    <row r="28" spans="3:51" x14ac:dyDescent="0.2">
      <c r="C28" s="13"/>
      <c r="D28" s="7"/>
      <c r="E28" s="22">
        <f t="shared" si="4"/>
        <v>18</v>
      </c>
      <c r="F28" s="21">
        <f t="shared" si="5"/>
        <v>4.5</v>
      </c>
      <c r="G28" s="4">
        <f t="shared" ca="1" si="6"/>
        <v>3.714128350040044E-2</v>
      </c>
      <c r="H28" s="20">
        <f t="shared" ca="1" si="0"/>
        <v>0.24628431180412447</v>
      </c>
      <c r="I28" s="19">
        <f t="shared" ca="1" si="1"/>
        <v>0.19645972573520765</v>
      </c>
      <c r="J28" s="42">
        <f t="shared" ca="1" si="2"/>
        <v>4.9824586068916821E-2</v>
      </c>
      <c r="K28" s="18"/>
      <c r="L28" s="49">
        <f t="shared" ref="L28:AG28" ca="1" si="24">L$50*EXP(-L$51*$G28)</f>
        <v>0.99071842620981454</v>
      </c>
      <c r="M28" s="20">
        <f t="shared" ca="1" si="24"/>
        <v>0.98144753267325957</v>
      </c>
      <c r="N28" s="20">
        <f t="shared" ca="1" si="24"/>
        <v>0.97219187617374792</v>
      </c>
      <c r="O28" s="20">
        <f t="shared" ca="1" si="24"/>
        <v>0.96295572881556779</v>
      </c>
      <c r="P28" s="20">
        <f t="shared" ca="1" si="24"/>
        <v>0.9537430922427037</v>
      </c>
      <c r="Q28" s="20">
        <f t="shared" ca="1" si="24"/>
        <v>0.94455771126475374</v>
      </c>
      <c r="R28" s="20">
        <f t="shared" ca="1" si="24"/>
        <v>0.93540308690329554</v>
      </c>
      <c r="S28" s="20">
        <f t="shared" ca="1" si="24"/>
        <v>0.92628248887318931</v>
      </c>
      <c r="T28" s="20">
        <f t="shared" ca="1" si="24"/>
        <v>0.91719896751421492</v>
      </c>
      <c r="U28" s="20">
        <f t="shared" ca="1" si="24"/>
        <v>0.90815536518913287</v>
      </c>
      <c r="V28" s="20">
        <f t="shared" ca="1" si="24"/>
        <v>0.89915432716477328</v>
      </c>
      <c r="W28" s="20">
        <f t="shared" ca="1" si="24"/>
        <v>0.89019831199310817</v>
      </c>
      <c r="X28" s="20">
        <f t="shared" ca="1" si="24"/>
        <v>0.88128960140947254</v>
      </c>
      <c r="Y28" s="20">
        <f t="shared" ca="1" si="24"/>
        <v>0.8724303097651912</v>
      </c>
      <c r="Z28" s="20">
        <f t="shared" ca="1" si="24"/>
        <v>0.86362239301185439</v>
      </c>
      <c r="AA28" s="20">
        <f t="shared" ca="1" si="24"/>
        <v>0.85486765725437919</v>
      </c>
      <c r="AB28" s="20">
        <f t="shared" ca="1" si="24"/>
        <v>0.84616776688981232</v>
      </c>
      <c r="AC28" s="20">
        <f t="shared" ca="1" si="24"/>
        <v>0.83752425234859107</v>
      </c>
      <c r="AD28" s="20">
        <f t="shared" ca="1" si="24"/>
        <v>0.82893851745466696</v>
      </c>
      <c r="AE28" s="20">
        <f t="shared" ca="1" si="24"/>
        <v>0.8204118464205663</v>
      </c>
      <c r="AF28" s="20">
        <f t="shared" ca="1" si="24"/>
        <v>0.81194541049306979</v>
      </c>
      <c r="AG28" s="20">
        <f t="shared" ca="1" si="24"/>
        <v>0.80354027426479235</v>
      </c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50"/>
    </row>
    <row r="29" spans="3:51" x14ac:dyDescent="0.2">
      <c r="C29" s="13"/>
      <c r="D29" s="7"/>
      <c r="E29" s="22">
        <f t="shared" si="4"/>
        <v>19</v>
      </c>
      <c r="F29" s="21">
        <f t="shared" si="5"/>
        <v>4.75</v>
      </c>
      <c r="G29" s="4">
        <f t="shared" ca="1" si="6"/>
        <v>4.2852905477184504E-2</v>
      </c>
      <c r="H29" s="20">
        <f t="shared" ca="1" si="0"/>
        <v>0.23323247525527685</v>
      </c>
      <c r="I29" s="19">
        <f t="shared" ca="1" si="1"/>
        <v>0.20677707680153956</v>
      </c>
      <c r="J29" s="42">
        <f t="shared" ca="1" si="2"/>
        <v>2.6455398453737289E-2</v>
      </c>
      <c r="K29" s="18"/>
      <c r="L29" s="49">
        <f t="shared" ref="L29:AF29" ca="1" si="25">L$50*EXP(-L$51*$G29)</f>
        <v>0.98932229528259952</v>
      </c>
      <c r="M29" s="20">
        <f t="shared" ca="1" si="25"/>
        <v>0.97871742559523933</v>
      </c>
      <c r="N29" s="20">
        <f t="shared" ca="1" si="25"/>
        <v>0.96818788985895166</v>
      </c>
      <c r="O29" s="20">
        <f t="shared" ca="1" si="25"/>
        <v>0.95773594805383977</v>
      </c>
      <c r="P29" s="20">
        <f t="shared" ca="1" si="25"/>
        <v>0.94736363627768161</v>
      </c>
      <c r="Q29" s="20">
        <f t="shared" ca="1" si="25"/>
        <v>0.93707278098150726</v>
      </c>
      <c r="R29" s="20">
        <f t="shared" ca="1" si="25"/>
        <v>0.92686501241887742</v>
      </c>
      <c r="S29" s="20">
        <f t="shared" ca="1" si="25"/>
        <v>0.91674177734485451</v>
      </c>
      <c r="T29" s="20">
        <f t="shared" ca="1" si="25"/>
        <v>0.90670435099982649</v>
      </c>
      <c r="U29" s="20">
        <f t="shared" ca="1" si="25"/>
        <v>0.89675384841239292</v>
      </c>
      <c r="V29" s="20">
        <f t="shared" ca="1" si="25"/>
        <v>0.88689123505453038</v>
      </c>
      <c r="W29" s="20">
        <f t="shared" ca="1" si="25"/>
        <v>0.87711733688118565</v>
      </c>
      <c r="X29" s="20">
        <f t="shared" ca="1" si="25"/>
        <v>0.86743284978535051</v>
      </c>
      <c r="Y29" s="20">
        <f t="shared" ca="1" si="25"/>
        <v>0.85783834849854612</v>
      </c>
      <c r="Z29" s="20">
        <f t="shared" ca="1" si="25"/>
        <v>0.84833429496550694</v>
      </c>
      <c r="AA29" s="20">
        <f t="shared" ca="1" si="25"/>
        <v>0.83892104622070696</v>
      </c>
      <c r="AB29" s="20">
        <f t="shared" ca="1" si="25"/>
        <v>0.8295988617932335</v>
      </c>
      <c r="AC29" s="20">
        <f t="shared" ca="1" si="25"/>
        <v>0.82036791066537995</v>
      </c>
      <c r="AD29" s="20">
        <f t="shared" ca="1" si="25"/>
        <v>0.81122827780921114</v>
      </c>
      <c r="AE29" s="20">
        <f t="shared" ca="1" si="25"/>
        <v>0.8021799703242628</v>
      </c>
      <c r="AF29" s="20">
        <f t="shared" ca="1" si="25"/>
        <v>0.79322292319846044</v>
      </c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50"/>
    </row>
    <row r="30" spans="3:51" x14ac:dyDescent="0.2">
      <c r="C30" s="13"/>
      <c r="D30" s="7"/>
      <c r="E30" s="22">
        <f t="shared" si="4"/>
        <v>20</v>
      </c>
      <c r="F30" s="21">
        <f t="shared" si="5"/>
        <v>5</v>
      </c>
      <c r="G30" s="4">
        <f t="shared" ca="1" si="6"/>
        <v>4.1081912057341893E-2</v>
      </c>
      <c r="H30" s="20">
        <f t="shared" ca="1" si="0"/>
        <v>0.22417253875578236</v>
      </c>
      <c r="I30" s="19">
        <f t="shared" ca="1" si="1"/>
        <v>0.19221066483718396</v>
      </c>
      <c r="J30" s="42">
        <f t="shared" ca="1" si="2"/>
        <v>3.1961873918598394E-2</v>
      </c>
      <c r="K30" s="18"/>
      <c r="L30" s="49">
        <f t="shared" ref="L30:AE30" ca="1" si="26">L$50*EXP(-L$51*$G30)</f>
        <v>0.98975498077564539</v>
      </c>
      <c r="M30" s="20">
        <f t="shared" ca="1" si="26"/>
        <v>0.97956313219043567</v>
      </c>
      <c r="N30" s="20">
        <f t="shared" ca="1" si="26"/>
        <v>0.96942763239109264</v>
      </c>
      <c r="O30" s="20">
        <f t="shared" ca="1" si="26"/>
        <v>0.95935140343676306</v>
      </c>
      <c r="P30" s="20">
        <f t="shared" ca="1" si="26"/>
        <v>0.94933712627209754</v>
      </c>
      <c r="Q30" s="20">
        <f t="shared" ca="1" si="26"/>
        <v>0.9393872549406268</v>
      </c>
      <c r="R30" s="20">
        <f t="shared" ca="1" si="26"/>
        <v>0.92950403006805826</v>
      </c>
      <c r="S30" s="20">
        <f t="shared" ca="1" si="26"/>
        <v>0.91968949164498937</v>
      </c>
      <c r="T30" s="20">
        <f t="shared" ca="1" si="26"/>
        <v>0.90994549113825984</v>
      </c>
      <c r="U30" s="20">
        <f t="shared" ca="1" si="26"/>
        <v>0.9002737029597524</v>
      </c>
      <c r="V30" s="20">
        <f t="shared" ca="1" si="26"/>
        <v>0.89067563532093308</v>
      </c>
      <c r="W30" s="20">
        <f t="shared" ca="1" si="26"/>
        <v>0.88115264050080866</v>
      </c>
      <c r="X30" s="20">
        <f t="shared" ca="1" si="26"/>
        <v>0.87170592455429619</v>
      </c>
      <c r="Y30" s="20">
        <f t="shared" ca="1" si="26"/>
        <v>0.86233655648725527</v>
      </c>
      <c r="Z30" s="20">
        <f t="shared" ca="1" si="26"/>
        <v>0.85304547692364674</v>
      </c>
      <c r="AA30" s="20">
        <f t="shared" ca="1" si="26"/>
        <v>0.84383350628945852</v>
      </c>
      <c r="AB30" s="20">
        <f t="shared" ca="1" si="26"/>
        <v>0.83470135253719557</v>
      </c>
      <c r="AC30" s="20">
        <f t="shared" ca="1" si="26"/>
        <v>0.82564961843387341</v>
      </c>
      <c r="AD30" s="20">
        <f t="shared" ca="1" si="26"/>
        <v>0.81667880843458041</v>
      </c>
      <c r="AE30" s="20">
        <f t="shared" ca="1" si="26"/>
        <v>0.80778933516281604</v>
      </c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50"/>
    </row>
    <row r="31" spans="3:51" x14ac:dyDescent="0.2">
      <c r="C31" s="13"/>
      <c r="D31" s="7"/>
      <c r="E31" s="22">
        <f t="shared" si="4"/>
        <v>21</v>
      </c>
      <c r="F31" s="21">
        <f t="shared" si="5"/>
        <v>5.25</v>
      </c>
      <c r="G31" s="4">
        <f t="shared" ca="1" si="6"/>
        <v>4.2354229868996389E-2</v>
      </c>
      <c r="H31" s="20">
        <f t="shared" ca="1" si="0"/>
        <v>0.21351067438822438</v>
      </c>
      <c r="I31" s="19">
        <f t="shared" ca="1" si="1"/>
        <v>0.18724065391301015</v>
      </c>
      <c r="J31" s="42">
        <f t="shared" ca="1" si="2"/>
        <v>2.6270020475214234E-2</v>
      </c>
      <c r="K31" s="18"/>
      <c r="L31" s="49">
        <f t="shared" ref="L31:AD31" ca="1" si="27">L$50*EXP(-L$51*$G31)</f>
        <v>0.98944411155221601</v>
      </c>
      <c r="M31" s="20">
        <f t="shared" ca="1" si="27"/>
        <v>0.97895548543665256</v>
      </c>
      <c r="N31" s="20">
        <f t="shared" ca="1" si="27"/>
        <v>0.96853681560966465</v>
      </c>
      <c r="O31" s="20">
        <f t="shared" ca="1" si="27"/>
        <v>0.95819055198134218</v>
      </c>
      <c r="P31" s="20">
        <f t="shared" ca="1" si="27"/>
        <v>0.94791891546688112</v>
      </c>
      <c r="Q31" s="20">
        <f t="shared" ca="1" si="27"/>
        <v>0.93772391223193241</v>
      </c>
      <c r="R31" s="20">
        <f t="shared" ca="1" si="27"/>
        <v>0.92760734716667848</v>
      </c>
      <c r="S31" s="20">
        <f t="shared" ca="1" si="27"/>
        <v>0.91757083662282302</v>
      </c>
      <c r="T31" s="20">
        <f t="shared" ca="1" si="27"/>
        <v>0.90761582044700584</v>
      </c>
      <c r="U31" s="20">
        <f t="shared" ca="1" si="27"/>
        <v>0.89774357334335853</v>
      </c>
      <c r="V31" s="20">
        <f t="shared" ca="1" si="27"/>
        <v>0.88795521559705781</v>
      </c>
      <c r="W31" s="20">
        <f t="shared" ca="1" si="27"/>
        <v>0.87825172318979328</v>
      </c>
      <c r="X31" s="20">
        <f t="shared" ca="1" si="27"/>
        <v>0.86863393733708716</v>
      </c>
      <c r="Y31" s="20">
        <f t="shared" ca="1" si="27"/>
        <v>0.85910257347638797</v>
      </c>
      <c r="Z31" s="20">
        <f t="shared" ca="1" si="27"/>
        <v>0.84965822973381722</v>
      </c>
      <c r="AA31" s="20">
        <f t="shared" ca="1" si="27"/>
        <v>0.84030139489639444</v>
      </c>
      <c r="AB31" s="20">
        <f t="shared" ca="1" si="27"/>
        <v>0.83103245591551</v>
      </c>
      <c r="AC31" s="20">
        <f t="shared" ca="1" si="27"/>
        <v>0.8218517049663574</v>
      </c>
      <c r="AD31" s="20">
        <f t="shared" ca="1" si="27"/>
        <v>0.81275934608698985</v>
      </c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50"/>
    </row>
    <row r="32" spans="3:51" x14ac:dyDescent="0.2">
      <c r="C32" s="13"/>
      <c r="D32" s="7"/>
      <c r="E32" s="22">
        <f t="shared" si="4"/>
        <v>22</v>
      </c>
      <c r="F32" s="21">
        <f t="shared" si="5"/>
        <v>5.5</v>
      </c>
      <c r="G32" s="4">
        <f t="shared" ca="1" si="6"/>
        <v>4.6617361739595464E-2</v>
      </c>
      <c r="H32" s="20">
        <f t="shared" ca="1" si="0"/>
        <v>0.20163590562092881</v>
      </c>
      <c r="I32" s="19">
        <f t="shared" ca="1" si="1"/>
        <v>0.19074701496854474</v>
      </c>
      <c r="J32" s="42">
        <f t="shared" ca="1" si="2"/>
        <v>1.0888890652384076E-2</v>
      </c>
      <c r="K32" s="18"/>
      <c r="L32" s="49">
        <f t="shared" ref="L32:AC32" ca="1" si="28">L$50*EXP(-L$51*$G32)</f>
        <v>0.98840319927831755</v>
      </c>
      <c r="M32" s="20">
        <f t="shared" ca="1" si="28"/>
        <v>0.97692220076299574</v>
      </c>
      <c r="N32" s="20">
        <f t="shared" ca="1" si="28"/>
        <v>0.9655579344539349</v>
      </c>
      <c r="O32" s="20">
        <f t="shared" ca="1" si="28"/>
        <v>0.95431113716843707</v>
      </c>
      <c r="P32" s="20">
        <f t="shared" ca="1" si="28"/>
        <v>0.94318236720209392</v>
      </c>
      <c r="Q32" s="20">
        <f t="shared" ca="1" si="28"/>
        <v>0.93217201806182148</v>
      </c>
      <c r="R32" s="20">
        <f t="shared" ca="1" si="28"/>
        <v>0.92128033132195108</v>
      </c>
      <c r="S32" s="20">
        <f t="shared" ca="1" si="28"/>
        <v>0.91050740865220037</v>
      </c>
      <c r="T32" s="20">
        <f t="shared" ca="1" si="28"/>
        <v>0.89985322306427251</v>
      </c>
      <c r="U32" s="20">
        <f t="shared" ca="1" si="28"/>
        <v>0.88931762942174997</v>
      </c>
      <c r="V32" s="20">
        <f t="shared" ca="1" si="28"/>
        <v>0.87890037425590795</v>
      </c>
      <c r="W32" s="20">
        <f t="shared" ca="1" si="28"/>
        <v>0.86860110492804798</v>
      </c>
      <c r="X32" s="20">
        <f t="shared" ca="1" si="28"/>
        <v>0.85841937817698544</v>
      </c>
      <c r="Y32" s="20">
        <f t="shared" ca="1" si="28"/>
        <v>0.84835466808839421</v>
      </c>
      <c r="Z32" s="20">
        <f t="shared" ca="1" si="28"/>
        <v>0.83840637352084935</v>
      </c>
      <c r="AA32" s="20">
        <f t="shared" ca="1" si="28"/>
        <v>0.8285738250215916</v>
      </c>
      <c r="AB32" s="20">
        <f t="shared" ca="1" si="28"/>
        <v>0.81885629126329817</v>
      </c>
      <c r="AC32" s="20">
        <f t="shared" ca="1" si="28"/>
        <v>0.80925298503145526</v>
      </c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50"/>
    </row>
    <row r="33" spans="3:51" x14ac:dyDescent="0.2">
      <c r="C33" s="13"/>
      <c r="D33" s="7"/>
      <c r="E33" s="22">
        <f t="shared" si="4"/>
        <v>23</v>
      </c>
      <c r="F33" s="21">
        <f t="shared" si="5"/>
        <v>5.75</v>
      </c>
      <c r="G33" s="4">
        <f t="shared" ca="1" si="6"/>
        <v>4.8350936586975812E-2</v>
      </c>
      <c r="H33" s="20">
        <f t="shared" ca="1" si="0"/>
        <v>0.19089134100930905</v>
      </c>
      <c r="I33" s="19">
        <f t="shared" ca="1" si="1"/>
        <v>0.1860438945868722</v>
      </c>
      <c r="J33" s="42">
        <f t="shared" ca="1" si="2"/>
        <v>4.8474464224368408E-3</v>
      </c>
      <c r="K33" s="18"/>
      <c r="L33" s="49">
        <f t="shared" ref="L33:AB33" ca="1" si="29">L$50*EXP(-L$51*$G33)</f>
        <v>0.98798023232534149</v>
      </c>
      <c r="M33" s="20">
        <f t="shared" ca="1" si="29"/>
        <v>0.97609658708917391</v>
      </c>
      <c r="N33" s="20">
        <f t="shared" ca="1" si="29"/>
        <v>0.96434921374555582</v>
      </c>
      <c r="O33" s="20">
        <f t="shared" ca="1" si="29"/>
        <v>0.95273809405961862</v>
      </c>
      <c r="P33" s="20">
        <f t="shared" ca="1" si="29"/>
        <v>0.94126305629953011</v>
      </c>
      <c r="Q33" s="20">
        <f t="shared" ca="1" si="29"/>
        <v>0.92992378846810775</v>
      </c>
      <c r="R33" s="20">
        <f t="shared" ca="1" si="29"/>
        <v>0.91871985063089923</v>
      </c>
      <c r="S33" s="20">
        <f t="shared" ca="1" si="29"/>
        <v>0.90765068639483293</v>
      </c>
      <c r="T33" s="20">
        <f t="shared" ca="1" si="29"/>
        <v>0.8967156335888955</v>
      </c>
      <c r="U33" s="20">
        <f t="shared" ca="1" si="29"/>
        <v>0.88591393419568987</v>
      </c>
      <c r="V33" s="20">
        <f t="shared" ca="1" si="29"/>
        <v>0.87524474358020954</v>
      </c>
      <c r="W33" s="20">
        <f t="shared" ca="1" si="29"/>
        <v>0.86470713905971619</v>
      </c>
      <c r="X33" s="20">
        <f t="shared" ca="1" si="29"/>
        <v>0.85430012785624287</v>
      </c>
      <c r="Y33" s="20">
        <f t="shared" ca="1" si="29"/>
        <v>0.84402265447097258</v>
      </c>
      <c r="Z33" s="20">
        <f t="shared" ca="1" si="29"/>
        <v>0.8338736075175458</v>
      </c>
      <c r="AA33" s="20">
        <f t="shared" ca="1" si="29"/>
        <v>0.82385182604926221</v>
      </c>
      <c r="AB33" s="20">
        <f t="shared" ca="1" si="29"/>
        <v>0.8139561054131278</v>
      </c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50"/>
    </row>
    <row r="34" spans="3:51" x14ac:dyDescent="0.2">
      <c r="C34" s="13"/>
      <c r="D34" s="7"/>
      <c r="E34" s="22">
        <f t="shared" si="4"/>
        <v>24</v>
      </c>
      <c r="F34" s="21">
        <f t="shared" si="5"/>
        <v>6</v>
      </c>
      <c r="G34" s="4">
        <f t="shared" ca="1" si="6"/>
        <v>4.6987353534941878E-2</v>
      </c>
      <c r="H34" s="20">
        <f t="shared" ca="1" si="0"/>
        <v>0.18116319809559467</v>
      </c>
      <c r="I34" s="19">
        <f t="shared" ca="1" si="1"/>
        <v>0.17243624387345191</v>
      </c>
      <c r="J34" s="42">
        <f t="shared" ca="1" si="2"/>
        <v>8.7269542221427576E-3</v>
      </c>
      <c r="K34" s="18"/>
      <c r="L34" s="49">
        <f t="shared" ref="L34:AA34" ca="1" si="30">L$50*EXP(-L$51*$G34)</f>
        <v>0.98831291148539391</v>
      </c>
      <c r="M34" s="20">
        <f t="shared" ca="1" si="30"/>
        <v>0.97674593386160191</v>
      </c>
      <c r="N34" s="20">
        <f t="shared" ca="1" si="30"/>
        <v>0.96529983363508998</v>
      </c>
      <c r="O34" s="20">
        <f t="shared" ca="1" si="30"/>
        <v>0.95397518933180936</v>
      </c>
      <c r="P34" s="20">
        <f t="shared" ca="1" si="30"/>
        <v>0.94277240607376034</v>
      </c>
      <c r="Q34" s="20">
        <f t="shared" ca="1" si="30"/>
        <v>0.93169172921986876</v>
      </c>
      <c r="R34" s="20">
        <f t="shared" ca="1" si="30"/>
        <v>0.92073325712337928</v>
      </c>
      <c r="S34" s="20">
        <f t="shared" ca="1" si="30"/>
        <v>0.9098969530557578</v>
      </c>
      <c r="T34" s="20">
        <f t="shared" ca="1" si="30"/>
        <v>0.89918265634489358</v>
      </c>
      <c r="U34" s="20">
        <f t="shared" ca="1" si="30"/>
        <v>0.8885900927732</v>
      </c>
      <c r="V34" s="20">
        <f t="shared" ca="1" si="30"/>
        <v>0.8781188842790667</v>
      </c>
      <c r="W34" s="20">
        <f t="shared" ca="1" si="30"/>
        <v>0.86776855800300334</v>
      </c>
      <c r="X34" s="20">
        <f t="shared" ca="1" si="30"/>
        <v>0.85753855471775731</v>
      </c>
      <c r="Y34" s="20">
        <f t="shared" ca="1" si="30"/>
        <v>0.84742823667969003</v>
      </c>
      <c r="Z34" s="20">
        <f t="shared" ca="1" si="30"/>
        <v>0.83743689493675511</v>
      </c>
      <c r="AA34" s="20">
        <f t="shared" ca="1" si="30"/>
        <v>0.82756375612654809</v>
      </c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50"/>
    </row>
    <row r="35" spans="3:51" x14ac:dyDescent="0.2">
      <c r="C35" s="13"/>
      <c r="D35" s="7"/>
      <c r="E35" s="22">
        <f t="shared" si="4"/>
        <v>25</v>
      </c>
      <c r="F35" s="21">
        <f t="shared" si="5"/>
        <v>6.25</v>
      </c>
      <c r="G35" s="4">
        <f t="shared" ca="1" si="6"/>
        <v>4.3596631562255135E-2</v>
      </c>
      <c r="H35" s="20">
        <f t="shared" ca="1" si="0"/>
        <v>0.17181824509201424</v>
      </c>
      <c r="I35" s="19">
        <f t="shared" ca="1" si="1"/>
        <v>0.15363639309547994</v>
      </c>
      <c r="J35" s="42">
        <f t="shared" ca="1" si="2"/>
        <v>1.8181851996534298E-2</v>
      </c>
      <c r="K35" s="18"/>
      <c r="L35" s="49">
        <f t="shared" ref="L35:Z35" ca="1" si="31">L$50*EXP(-L$51*$G35)</f>
        <v>0.98914064604713225</v>
      </c>
      <c r="M35" s="20">
        <f t="shared" ca="1" si="31"/>
        <v>0.97836249008289067</v>
      </c>
      <c r="N35" s="20">
        <f t="shared" ca="1" si="31"/>
        <v>0.96766773462144251</v>
      </c>
      <c r="O35" s="20">
        <f t="shared" ca="1" si="31"/>
        <v>0.95705835125922811</v>
      </c>
      <c r="P35" s="20">
        <f t="shared" ca="1" si="31"/>
        <v>0.94653609571913799</v>
      </c>
      <c r="Q35" s="20">
        <f t="shared" ca="1" si="31"/>
        <v>0.93610252204756983</v>
      </c>
      <c r="R35" s="20">
        <f t="shared" ca="1" si="31"/>
        <v>0.92575899600401101</v>
      </c>
      <c r="S35" s="20">
        <f t="shared" ca="1" si="31"/>
        <v>0.91550670768179476</v>
      </c>
      <c r="T35" s="20">
        <f t="shared" ca="1" si="31"/>
        <v>0.90534668339759883</v>
      </c>
      <c r="U35" s="20">
        <f t="shared" ca="1" si="31"/>
        <v>0.89527979688608961</v>
      </c>
      <c r="V35" s="20">
        <f t="shared" ca="1" si="31"/>
        <v>0.8853067798349098</v>
      </c>
      <c r="W35" s="20">
        <f t="shared" ca="1" si="31"/>
        <v>0.87542823179395168</v>
      </c>
      <c r="X35" s="20">
        <f t="shared" ca="1" si="31"/>
        <v>0.86564462949159127</v>
      </c>
      <c r="Y35" s="20">
        <f t="shared" ca="1" si="31"/>
        <v>0.85595633558926909</v>
      </c>
      <c r="Z35" s="20">
        <f t="shared" ca="1" si="31"/>
        <v>0.84636360690452006</v>
      </c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50"/>
    </row>
    <row r="36" spans="3:51" x14ac:dyDescent="0.2">
      <c r="C36" s="13"/>
      <c r="D36" s="7"/>
      <c r="E36" s="22">
        <f t="shared" si="4"/>
        <v>26</v>
      </c>
      <c r="F36" s="21">
        <f t="shared" si="5"/>
        <v>6.5</v>
      </c>
      <c r="G36" s="4">
        <f t="shared" ca="1" si="6"/>
        <v>4.4042519894924102E-2</v>
      </c>
      <c r="H36" s="20">
        <f t="shared" ca="1" si="0"/>
        <v>0.16112156964260668</v>
      </c>
      <c r="I36" s="19">
        <f t="shared" ca="1" si="1"/>
        <v>0.14517001290439968</v>
      </c>
      <c r="J36" s="42">
        <f t="shared" ca="1" si="2"/>
        <v>1.5951556738207001E-2</v>
      </c>
      <c r="K36" s="18"/>
      <c r="L36" s="49">
        <f t="shared" ref="L36:Y36" ca="1" si="32">L$50*EXP(-L$51*$G36)</f>
        <v>0.98903175732812543</v>
      </c>
      <c r="M36" s="20">
        <f t="shared" ca="1" si="32"/>
        <v>0.97814975625139799</v>
      </c>
      <c r="N36" s="20">
        <f t="shared" ca="1" si="32"/>
        <v>0.96735601839300334</v>
      </c>
      <c r="O36" s="20">
        <f t="shared" ca="1" si="32"/>
        <v>0.95665233950550865</v>
      </c>
      <c r="P36" s="20">
        <f t="shared" ca="1" si="32"/>
        <v>0.946040304491651</v>
      </c>
      <c r="Q36" s="20">
        <f t="shared" ca="1" si="32"/>
        <v>0.93552130156431756</v>
      </c>
      <c r="R36" s="20">
        <f t="shared" ca="1" si="32"/>
        <v>0.92509653558708915</v>
      </c>
      <c r="S36" s="20">
        <f t="shared" ca="1" si="32"/>
        <v>0.91476704063556158</v>
      </c>
      <c r="T36" s="20">
        <f t="shared" ca="1" si="32"/>
        <v>0.90453369181843579</v>
      </c>
      <c r="U36" s="20">
        <f t="shared" ca="1" si="32"/>
        <v>0.89439721639606451</v>
      </c>
      <c r="V36" s="20">
        <f t="shared" ca="1" si="32"/>
        <v>0.88435820423281641</v>
      </c>
      <c r="W36" s="20">
        <f t="shared" ca="1" si="32"/>
        <v>0.87441711761824936</v>
      </c>
      <c r="X36" s="20">
        <f t="shared" ca="1" si="32"/>
        <v>0.86457430049071093</v>
      </c>
      <c r="Y36" s="20">
        <f t="shared" ca="1" si="32"/>
        <v>0.85482998709560032</v>
      </c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50"/>
    </row>
    <row r="37" spans="3:51" x14ac:dyDescent="0.2">
      <c r="C37" s="13"/>
      <c r="D37" s="7"/>
      <c r="E37" s="22">
        <f t="shared" si="4"/>
        <v>27</v>
      </c>
      <c r="F37" s="21">
        <f t="shared" si="5"/>
        <v>6.75</v>
      </c>
      <c r="G37" s="4">
        <f t="shared" ca="1" si="6"/>
        <v>3.700712031201274E-2</v>
      </c>
      <c r="H37" s="20">
        <f t="shared" ca="1" si="0"/>
        <v>0.15207262234586452</v>
      </c>
      <c r="I37" s="19">
        <f t="shared" ca="1" si="1"/>
        <v>0.11838226323117618</v>
      </c>
      <c r="J37" s="42">
        <f t="shared" ca="1" si="2"/>
        <v>3.3690359114688345E-2</v>
      </c>
      <c r="K37" s="18"/>
      <c r="L37" s="49">
        <f t="shared" ref="L37:X37" ca="1" si="33">L$50*EXP(-L$51*$G37)</f>
        <v>0.99075124431038231</v>
      </c>
      <c r="M37" s="20">
        <f t="shared" ca="1" si="33"/>
        <v>0.98151175300536542</v>
      </c>
      <c r="N37" s="20">
        <f t="shared" ca="1" si="33"/>
        <v>0.9722861266194297</v>
      </c>
      <c r="O37" s="20">
        <f t="shared" ca="1" si="33"/>
        <v>0.96307868025937116</v>
      </c>
      <c r="P37" s="20">
        <f t="shared" ca="1" si="33"/>
        <v>0.95389345778465018</v>
      </c>
      <c r="Q37" s="20">
        <f t="shared" ca="1" si="33"/>
        <v>0.94473424540105733</v>
      </c>
      <c r="R37" s="20">
        <f t="shared" ca="1" si="33"/>
        <v>0.93560458468048613</v>
      </c>
      <c r="S37" s="20">
        <f t="shared" ca="1" si="33"/>
        <v>0.92650778502078679</v>
      </c>
      <c r="T37" s="20">
        <f t="shared" ca="1" si="33"/>
        <v>0.91744693556061852</v>
      </c>
      <c r="U37" s="20">
        <f t="shared" ca="1" si="33"/>
        <v>0.90842491656494473</v>
      </c>
      <c r="V37" s="20">
        <f t="shared" ca="1" si="33"/>
        <v>0.89944441029736755</v>
      </c>
      <c r="W37" s="20">
        <f t="shared" ca="1" si="33"/>
        <v>0.89050791139587548</v>
      </c>
      <c r="X37" s="20">
        <f t="shared" ca="1" si="33"/>
        <v>0.88161773676882382</v>
      </c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50"/>
    </row>
    <row r="38" spans="3:51" x14ac:dyDescent="0.2">
      <c r="C38" s="13"/>
      <c r="D38" s="7"/>
      <c r="E38" s="22">
        <f t="shared" si="4"/>
        <v>28</v>
      </c>
      <c r="F38" s="21">
        <f t="shared" si="5"/>
        <v>7</v>
      </c>
      <c r="G38" s="4">
        <f t="shared" ca="1" si="6"/>
        <v>4.1899728321654513E-2</v>
      </c>
      <c r="H38" s="20">
        <f t="shared" ca="1" si="0"/>
        <v>0.1400606144390196</v>
      </c>
      <c r="I38" s="19">
        <f t="shared" ca="1" si="1"/>
        <v>0.12071309968871413</v>
      </c>
      <c r="J38" s="42">
        <f t="shared" ca="1" si="2"/>
        <v>1.9347514750305467E-2</v>
      </c>
      <c r="K38" s="18"/>
      <c r="L38" s="49">
        <f t="shared" ref="L38:W38" ca="1" si="34">L$50*EXP(-L$51*$G38)</f>
        <v>0.98955515006580674</v>
      </c>
      <c r="M38" s="20">
        <f t="shared" ca="1" si="34"/>
        <v>0.97917250771830422</v>
      </c>
      <c r="N38" s="20">
        <f t="shared" ca="1" si="34"/>
        <v>0.9688549420878374</v>
      </c>
      <c r="O38" s="20">
        <f t="shared" ca="1" si="34"/>
        <v>0.9586050737954851</v>
      </c>
      <c r="P38" s="20">
        <f t="shared" ca="1" si="34"/>
        <v>0.94842528998623077</v>
      </c>
      <c r="Q38" s="20">
        <f t="shared" ca="1" si="34"/>
        <v>0.9383177585721848</v>
      </c>
      <c r="R38" s="20">
        <f t="shared" ca="1" si="34"/>
        <v>0.92828444171878788</v>
      </c>
      <c r="S38" s="20">
        <f t="shared" ca="1" si="34"/>
        <v>0.91832710860651745</v>
      </c>
      <c r="T38" s="20">
        <f t="shared" ca="1" si="34"/>
        <v>0.90844734750009282</v>
      </c>
      <c r="U38" s="20">
        <f t="shared" ca="1" si="34"/>
        <v>0.89864657715651297</v>
      </c>
      <c r="V38" s="20">
        <f t="shared" ca="1" si="34"/>
        <v>0.88892605760252252</v>
      </c>
      <c r="W38" s="20">
        <f t="shared" ca="1" si="34"/>
        <v>0.87928690031128587</v>
      </c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50"/>
    </row>
    <row r="39" spans="3:51" x14ac:dyDescent="0.2">
      <c r="C39" s="13"/>
      <c r="D39" s="7"/>
      <c r="E39" s="22">
        <f t="shared" si="4"/>
        <v>29</v>
      </c>
      <c r="F39" s="21">
        <f t="shared" si="5"/>
        <v>7.25</v>
      </c>
      <c r="G39" s="4">
        <f t="shared" ca="1" si="6"/>
        <v>4.2773059920407086E-2</v>
      </c>
      <c r="H39" s="20">
        <f t="shared" ca="1" si="0"/>
        <v>0.12891827033089623</v>
      </c>
      <c r="I39" s="19">
        <f t="shared" ca="1" si="1"/>
        <v>0.1129384912254251</v>
      </c>
      <c r="J39" s="42">
        <f t="shared" ca="1" si="2"/>
        <v>1.5979779105471131E-2</v>
      </c>
      <c r="K39" s="18"/>
      <c r="L39" s="49">
        <f t="shared" ref="L39:V39" ca="1" si="35">L$50*EXP(-L$51*$G39)</f>
        <v>0.98934179891344431</v>
      </c>
      <c r="M39" s="20">
        <f t="shared" ca="1" si="35"/>
        <v>0.97875553870721199</v>
      </c>
      <c r="N39" s="20">
        <f t="shared" ca="1" si="35"/>
        <v>0.96824374973030869</v>
      </c>
      <c r="O39" s="20">
        <f t="shared" ca="1" si="35"/>
        <v>0.95780872255862681</v>
      </c>
      <c r="P39" s="20">
        <f t="shared" ca="1" si="35"/>
        <v>0.94745252305329652</v>
      </c>
      <c r="Q39" s="20">
        <f t="shared" ca="1" si="35"/>
        <v>0.9371770065986873</v>
      </c>
      <c r="R39" s="20">
        <f t="shared" ca="1" si="35"/>
        <v>0.92698383155647124</v>
      </c>
      <c r="S39" s="20">
        <f t="shared" ca="1" si="35"/>
        <v>0.91687447197145588</v>
      </c>
      <c r="T39" s="20">
        <f t="shared" ca="1" si="35"/>
        <v>0.90685022956407901</v>
      </c>
      <c r="U39" s="20">
        <f t="shared" ca="1" si="35"/>
        <v>0.89691224504354106</v>
      </c>
      <c r="V39" s="20">
        <f t="shared" ca="1" si="35"/>
        <v>0.8870615087745749</v>
      </c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50"/>
    </row>
    <row r="40" spans="3:51" x14ac:dyDescent="0.2">
      <c r="C40" s="13"/>
      <c r="D40" s="7"/>
      <c r="E40" s="22">
        <f t="shared" si="4"/>
        <v>30</v>
      </c>
      <c r="F40" s="21">
        <f t="shared" si="5"/>
        <v>7.5</v>
      </c>
      <c r="G40" s="4">
        <f t="shared" ca="1" si="6"/>
        <v>3.5746105136006491E-2</v>
      </c>
      <c r="H40" s="20">
        <f t="shared" ca="1" si="0"/>
        <v>0.11886447282870123</v>
      </c>
      <c r="I40" s="19">
        <f t="shared" ca="1" si="1"/>
        <v>8.9037625930303177E-2</v>
      </c>
      <c r="J40" s="42">
        <f t="shared" ca="1" si="2"/>
        <v>2.9826846898398054E-2</v>
      </c>
      <c r="K40" s="18"/>
      <c r="L40" s="49">
        <f t="shared" ref="L40:U40" ca="1" si="36">L$50*EXP(-L$51*$G40)</f>
        <v>0.99105975853064388</v>
      </c>
      <c r="M40" s="20">
        <f t="shared" ca="1" si="36"/>
        <v>0.98211557266818506</v>
      </c>
      <c r="N40" s="20">
        <f t="shared" ca="1" si="36"/>
        <v>0.97317244402397418</v>
      </c>
      <c r="O40" s="20">
        <f t="shared" ca="1" si="36"/>
        <v>0.96423508244804412</v>
      </c>
      <c r="P40" s="20">
        <f t="shared" ca="1" si="36"/>
        <v>0.95530791980932006</v>
      </c>
      <c r="Q40" s="20">
        <f t="shared" ca="1" si="36"/>
        <v>0.94639512324906705</v>
      </c>
      <c r="R40" s="20">
        <f t="shared" ca="1" si="36"/>
        <v>0.93750060791513845</v>
      </c>
      <c r="S40" s="20">
        <f t="shared" ca="1" si="36"/>
        <v>0.92862804918613773</v>
      </c>
      <c r="T40" s="20">
        <f t="shared" ca="1" si="36"/>
        <v>0.9197808943958915</v>
      </c>
      <c r="U40" s="20">
        <f t="shared" ca="1" si="36"/>
        <v>0.91096237406969682</v>
      </c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50"/>
    </row>
    <row r="41" spans="3:51" x14ac:dyDescent="0.2">
      <c r="C41" s="13"/>
      <c r="D41" s="7"/>
      <c r="E41" s="22">
        <f t="shared" si="4"/>
        <v>31</v>
      </c>
      <c r="F41" s="21">
        <f t="shared" si="5"/>
        <v>7.75</v>
      </c>
      <c r="G41" s="4">
        <f t="shared" ca="1" si="6"/>
        <v>4.1700907218386249E-2</v>
      </c>
      <c r="H41" s="20">
        <f t="shared" ca="1" si="0"/>
        <v>0.10674908241321567</v>
      </c>
      <c r="I41" s="19">
        <f t="shared" ca="1" si="1"/>
        <v>9.1188662607744941E-2</v>
      </c>
      <c r="J41" s="42">
        <f t="shared" ca="1" si="2"/>
        <v>1.5560419805470724E-2</v>
      </c>
      <c r="K41" s="18"/>
      <c r="L41" s="49">
        <f t="shared" ref="L41:T41" ca="1" si="37">L$50*EXP(-L$51*$G41)</f>
        <v>0.98960372763507654</v>
      </c>
      <c r="M41" s="20">
        <f t="shared" ca="1" si="37"/>
        <v>0.9792674589553334</v>
      </c>
      <c r="N41" s="20">
        <f t="shared" ca="1" si="37"/>
        <v>0.9689941389475355</v>
      </c>
      <c r="O41" s="20">
        <f t="shared" ca="1" si="37"/>
        <v>0.95878646219349561</v>
      </c>
      <c r="P41" s="20">
        <f t="shared" ca="1" si="37"/>
        <v>0.94864688789184615</v>
      </c>
      <c r="Q41" s="20">
        <f t="shared" ca="1" si="37"/>
        <v>0.93857765409706184</v>
      </c>
      <c r="R41" s="20">
        <f t="shared" ca="1" si="37"/>
        <v>0.92858079120786252</v>
      </c>
      <c r="S41" s="20">
        <f t="shared" ca="1" si="37"/>
        <v>0.91865813473678581</v>
      </c>
      <c r="T41" s="20">
        <f t="shared" ca="1" si="37"/>
        <v>0.90881133739225506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50"/>
    </row>
    <row r="42" spans="3:51" x14ac:dyDescent="0.2">
      <c r="C42" s="13"/>
      <c r="D42" s="7"/>
      <c r="E42" s="22">
        <f t="shared" si="4"/>
        <v>32</v>
      </c>
      <c r="F42" s="21">
        <f t="shared" si="5"/>
        <v>8</v>
      </c>
      <c r="G42" s="4">
        <f t="shared" ca="1" si="6"/>
        <v>3.8828951199114684E-2</v>
      </c>
      <c r="H42" s="20">
        <f t="shared" ca="1" si="0"/>
        <v>9.5673524498653587E-2</v>
      </c>
      <c r="I42" s="19">
        <f t="shared" ca="1" si="1"/>
        <v>7.6546885334771386E-2</v>
      </c>
      <c r="J42" s="42">
        <f t="shared" ca="1" si="2"/>
        <v>1.91266391638822E-2</v>
      </c>
      <c r="K42" s="18"/>
      <c r="L42" s="49">
        <f t="shared" ref="L42:S42" ca="1" si="38">L$50*EXP(-L$51*$G42)</f>
        <v>0.99030569307428762</v>
      </c>
      <c r="M42" s="20">
        <f t="shared" ca="1" si="38"/>
        <v>0.98064005004538057</v>
      </c>
      <c r="N42" s="20">
        <f t="shared" ca="1" si="38"/>
        <v>0.97100705950356325</v>
      </c>
      <c r="O42" s="20">
        <f t="shared" ca="1" si="38"/>
        <v>0.9614104360250959</v>
      </c>
      <c r="P42" s="20">
        <f t="shared" ca="1" si="38"/>
        <v>0.95185363480497209</v>
      </c>
      <c r="Q42" s="20">
        <f t="shared" ca="1" si="38"/>
        <v>0.94233986562139915</v>
      </c>
      <c r="R42" s="20">
        <f t="shared" ca="1" si="38"/>
        <v>0.93287210615235994</v>
      </c>
      <c r="S42" s="20">
        <f t="shared" ca="1" si="38"/>
        <v>0.92345311466522861</v>
      </c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50"/>
    </row>
    <row r="43" spans="3:51" x14ac:dyDescent="0.2">
      <c r="C43" s="13"/>
      <c r="D43" s="7"/>
      <c r="E43" s="22">
        <f t="shared" si="4"/>
        <v>33</v>
      </c>
      <c r="F43" s="21">
        <f t="shared" si="5"/>
        <v>8.25</v>
      </c>
      <c r="G43" s="4">
        <f t="shared" ca="1" si="6"/>
        <v>4.4227414753537336E-2</v>
      </c>
      <c r="H43" s="20">
        <f t="shared" ca="1" si="0"/>
        <v>8.3708701840144811E-2</v>
      </c>
      <c r="I43" s="19">
        <f t="shared" ca="1" si="1"/>
        <v>7.5178025352236055E-2</v>
      </c>
      <c r="J43" s="42">
        <f t="shared" ca="1" si="2"/>
        <v>8.530676487908756E-3</v>
      </c>
      <c r="K43" s="18"/>
      <c r="L43" s="49">
        <f t="shared" ref="L43:R43" ca="1" si="39">L$50*EXP(-L$51*$G43)</f>
        <v>0.9889866083634189</v>
      </c>
      <c r="M43" s="20">
        <f t="shared" ca="1" si="39"/>
        <v>0.97806155627167102</v>
      </c>
      <c r="N43" s="20">
        <f t="shared" ca="1" si="39"/>
        <v>0.96722678963634168</v>
      </c>
      <c r="O43" s="20">
        <f t="shared" ca="1" si="39"/>
        <v>0.95648403064373455</v>
      </c>
      <c r="P43" s="20">
        <f t="shared" ca="1" si="39"/>
        <v>0.94583479276267135</v>
      </c>
      <c r="Q43" s="20">
        <f t="shared" ca="1" si="39"/>
        <v>0.9352803948859828</v>
      </c>
      <c r="R43" s="20">
        <f t="shared" ca="1" si="39"/>
        <v>0.92482197464776394</v>
      </c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50"/>
    </row>
    <row r="44" spans="3:51" x14ac:dyDescent="0.2">
      <c r="C44" s="13"/>
      <c r="D44" s="7"/>
      <c r="E44" s="22">
        <f t="shared" si="4"/>
        <v>34</v>
      </c>
      <c r="F44" s="21">
        <f t="shared" si="5"/>
        <v>8.5</v>
      </c>
      <c r="G44" s="4">
        <f t="shared" ca="1" si="6"/>
        <v>4.3893070367412357E-2</v>
      </c>
      <c r="H44" s="20">
        <f t="shared" ca="1" si="0"/>
        <v>7.2168258975276275E-2</v>
      </c>
      <c r="I44" s="19">
        <f t="shared" ca="1" si="1"/>
        <v>6.4283929505255299E-2</v>
      </c>
      <c r="J44" s="42">
        <f t="shared" ca="1" si="2"/>
        <v>7.8843294700209759E-3</v>
      </c>
      <c r="K44" s="18"/>
      <c r="L44" s="49">
        <f t="shared" ref="L44:Q44" ca="1" si="40">L$50*EXP(-L$51*$G44)</f>
        <v>0.98906825250166164</v>
      </c>
      <c r="M44" s="20">
        <f t="shared" ca="1" si="40"/>
        <v>0.97822105363701606</v>
      </c>
      <c r="N44" s="20">
        <f t="shared" ca="1" si="40"/>
        <v>0.96746048592551037</v>
      </c>
      <c r="O44" s="20">
        <f t="shared" ca="1" si="40"/>
        <v>0.9567884043044248</v>
      </c>
      <c r="P44" s="20">
        <f t="shared" ca="1" si="40"/>
        <v>0.94620645115874391</v>
      </c>
      <c r="Q44" s="20">
        <f t="shared" ca="1" si="40"/>
        <v>0.9357160704947447</v>
      </c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50"/>
    </row>
    <row r="45" spans="3:51" x14ac:dyDescent="0.2">
      <c r="C45" s="13"/>
      <c r="D45" s="7"/>
      <c r="E45" s="22">
        <f t="shared" si="4"/>
        <v>35</v>
      </c>
      <c r="F45" s="21">
        <f t="shared" si="5"/>
        <v>8.75</v>
      </c>
      <c r="G45" s="4">
        <f t="shared" ca="1" si="6"/>
        <v>4.4734103007366473E-2</v>
      </c>
      <c r="H45" s="20">
        <f t="shared" ca="1" si="0"/>
        <v>6.0435628798920948E-2</v>
      </c>
      <c r="I45" s="19">
        <f t="shared" ca="1" si="1"/>
        <v>5.4728165450383393E-2</v>
      </c>
      <c r="J45" s="42">
        <f t="shared" ca="1" si="2"/>
        <v>5.7074633485375559E-3</v>
      </c>
      <c r="K45" s="18"/>
      <c r="L45" s="49">
        <f ca="1">L$50*EXP(-L$51*$G45)</f>
        <v>0.98886289212137779</v>
      </c>
      <c r="M45" s="20">
        <f ca="1">M$50*EXP(-M$51*$G45)</f>
        <v>0.97781989266848279</v>
      </c>
      <c r="N45" s="20">
        <f ca="1">N$50*EXP(-N$51*$G45)</f>
        <v>0.96687273795743522</v>
      </c>
      <c r="O45" s="20">
        <f ca="1">O$50*EXP(-O$51*$G45)</f>
        <v>0.95602294661676335</v>
      </c>
      <c r="P45" s="20">
        <f ca="1">P$50*EXP(-P$51*$G45)</f>
        <v>0.94527183454961661</v>
      </c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50"/>
    </row>
    <row r="46" spans="3:51" x14ac:dyDescent="0.2">
      <c r="C46" s="13"/>
      <c r="D46" s="7"/>
      <c r="E46" s="22">
        <f t="shared" si="4"/>
        <v>36</v>
      </c>
      <c r="F46" s="21">
        <f t="shared" si="5"/>
        <v>9</v>
      </c>
      <c r="G46" s="4">
        <f t="shared" ca="1" si="6"/>
        <v>5.5648956301789877E-2</v>
      </c>
      <c r="H46" s="20">
        <f t="shared" ca="1" si="0"/>
        <v>4.8303146613814185E-2</v>
      </c>
      <c r="I46" s="19">
        <f t="shared" ca="1" si="1"/>
        <v>5.3855733237291092E-2</v>
      </c>
      <c r="J46" s="42">
        <f t="shared" ca="1" si="2"/>
        <v>-5.5525866234769072E-3</v>
      </c>
      <c r="K46" s="18"/>
      <c r="L46" s="49">
        <f ca="1">L$50*EXP(-L$51*$G46)</f>
        <v>0.98620160603001339</v>
      </c>
      <c r="M46" s="20">
        <f ca="1">M$50*EXP(-M$51*$G46)</f>
        <v>0.97262855548205251</v>
      </c>
      <c r="N46" s="20">
        <f ca="1">N$50*EXP(-N$51*$G46)</f>
        <v>0.95927730083036045</v>
      </c>
      <c r="O46" s="20">
        <f ca="1">O$50*EXP(-O$51*$G46)</f>
        <v>0.94614426676270891</v>
      </c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50"/>
    </row>
    <row r="47" spans="3:51" x14ac:dyDescent="0.2">
      <c r="C47" s="13"/>
      <c r="D47" s="7"/>
      <c r="E47" s="22">
        <f t="shared" si="4"/>
        <v>37</v>
      </c>
      <c r="F47" s="21">
        <f t="shared" si="5"/>
        <v>9.25</v>
      </c>
      <c r="G47" s="4">
        <f t="shared" ca="1" si="6"/>
        <v>5.7451232587114341E-2</v>
      </c>
      <c r="H47" s="20">
        <f t="shared" ca="1" si="0"/>
        <v>3.6444571914607544E-2</v>
      </c>
      <c r="I47" s="19">
        <f t="shared" ca="1" si="1"/>
        <v>4.1971116496388405E-2</v>
      </c>
      <c r="J47" s="42">
        <f t="shared" ca="1" si="2"/>
        <v>-5.5265445817808609E-3</v>
      </c>
      <c r="K47" s="18"/>
      <c r="L47" s="49">
        <f ca="1">L$50*EXP(-L$51*$G47)</f>
        <v>0.98576286011331049</v>
      </c>
      <c r="M47" s="20">
        <f ca="1">M$50*EXP(-M$51*$G47)</f>
        <v>0.97177400955168125</v>
      </c>
      <c r="N47" s="20">
        <f ca="1">N$50*EXP(-N$51*$G47)</f>
        <v>0.95802888350361159</v>
      </c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50"/>
    </row>
    <row r="48" spans="3:51" x14ac:dyDescent="0.2">
      <c r="C48" s="13"/>
      <c r="D48" s="7"/>
      <c r="E48" s="22">
        <f t="shared" si="4"/>
        <v>38</v>
      </c>
      <c r="F48" s="21">
        <f t="shared" si="5"/>
        <v>9.5</v>
      </c>
      <c r="G48" s="4">
        <f t="shared" ca="1" si="6"/>
        <v>6.5532350039292309E-2</v>
      </c>
      <c r="H48" s="20">
        <f t="shared" ca="1" si="0"/>
        <v>2.4396869704573155E-2</v>
      </c>
      <c r="I48" s="19">
        <f t="shared" ca="1" si="1"/>
        <v>3.2048416017616876E-2</v>
      </c>
      <c r="J48" s="42">
        <f t="shared" ca="1" si="2"/>
        <v>-7.6515463130437215E-3</v>
      </c>
      <c r="K48" s="18"/>
      <c r="L48" s="49">
        <f ca="1">L$50*EXP(-L$51*$G48)</f>
        <v>0.98379799238346932</v>
      </c>
      <c r="M48" s="20">
        <f ca="1">M$50*EXP(-M$51*$G48)</f>
        <v>0.96795158398238312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50"/>
    </row>
    <row r="49" spans="1:254" x14ac:dyDescent="0.2">
      <c r="C49" s="13"/>
      <c r="D49" s="7"/>
      <c r="E49" s="22">
        <f t="shared" si="4"/>
        <v>39</v>
      </c>
      <c r="F49" s="21">
        <f t="shared" si="5"/>
        <v>9.75</v>
      </c>
      <c r="G49" s="4">
        <f t="shared" ca="1" si="6"/>
        <v>6.5785595670255617E-2</v>
      </c>
      <c r="H49" s="20">
        <f t="shared" ca="1" si="0"/>
        <v>1.2296706009917786E-2</v>
      </c>
      <c r="I49" s="19">
        <f t="shared" ca="1" si="1"/>
        <v>1.6263519206577204E-2</v>
      </c>
      <c r="J49" s="42">
        <f t="shared" ca="1" si="2"/>
        <v>-3.9668131966594175E-3</v>
      </c>
      <c r="K49" s="18"/>
      <c r="L49" s="51">
        <f ca="1">L$50*EXP(-L$51*$G49)</f>
        <v>0.9837364807934228</v>
      </c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3"/>
    </row>
    <row r="50" spans="1:254" ht="13.5" thickBot="1" x14ac:dyDescent="0.25">
      <c r="C50" s="13"/>
      <c r="D50" s="7"/>
      <c r="E50" s="17">
        <f t="shared" si="4"/>
        <v>40</v>
      </c>
      <c r="F50" s="16">
        <f t="shared" si="5"/>
        <v>10</v>
      </c>
      <c r="G50" s="5">
        <f t="shared" ca="1" si="6"/>
        <v>7.3234842998390851E-2</v>
      </c>
      <c r="H50" s="15">
        <v>0</v>
      </c>
      <c r="I50" s="14">
        <v>0</v>
      </c>
      <c r="J50" s="43">
        <f t="shared" si="2"/>
        <v>0</v>
      </c>
      <c r="K50" s="54" t="s">
        <v>14</v>
      </c>
      <c r="L50" s="46">
        <f ca="1">EXP(((L51-L9)*(MeanRev^2*b_Param-Volatility^2/2))/MeanRev^2-(Volatility^2*L51^2/(4*MeanRev)))</f>
        <v>0.99984531154164269</v>
      </c>
      <c r="M50" s="47">
        <f t="shared" ref="M50:AY50" ca="1" si="41">EXP(((M51-M9)*(MeanRev^2*b_Param-Volatility^2/2))/MeanRev^2-(Volatility^2*M51^2/(4*MeanRev)))</f>
        <v>0.99938748241434794</v>
      </c>
      <c r="N50" s="47">
        <f t="shared" ca="1" si="41"/>
        <v>0.99863583737486117</v>
      </c>
      <c r="O50" s="47">
        <f t="shared" ca="1" si="41"/>
        <v>0.99759964941845869</v>
      </c>
      <c r="P50" s="47">
        <f t="shared" ca="1" si="41"/>
        <v>0.99628812549058099</v>
      </c>
      <c r="Q50" s="47">
        <f t="shared" ca="1" si="41"/>
        <v>0.99471039341269707</v>
      </c>
      <c r="R50" s="47">
        <f t="shared" ca="1" si="41"/>
        <v>0.99287548996227892</v>
      </c>
      <c r="S50" s="47">
        <f t="shared" ca="1" si="41"/>
        <v>0.99079235004772093</v>
      </c>
      <c r="T50" s="47">
        <f t="shared" ca="1" si="41"/>
        <v>0.98846979692021153</v>
      </c>
      <c r="U50" s="47">
        <f t="shared" ca="1" si="41"/>
        <v>0.98591653336590812</v>
      </c>
      <c r="V50" s="47">
        <f t="shared" ca="1" si="41"/>
        <v>0.98314113382326374</v>
      </c>
      <c r="W50" s="47">
        <f t="shared" ca="1" si="41"/>
        <v>0.98015203737196466</v>
      </c>
      <c r="X50" s="47">
        <f t="shared" ca="1" si="41"/>
        <v>0.97695754154164594</v>
      </c>
      <c r="Y50" s="47">
        <f t="shared" ca="1" si="41"/>
        <v>0.97356579689032929</v>
      </c>
      <c r="Z50" s="47">
        <f t="shared" ca="1" si="41"/>
        <v>0.96998480230435835</v>
      </c>
      <c r="AA50" s="47">
        <f t="shared" ca="1" si="41"/>
        <v>0.96622240097347045</v>
      </c>
      <c r="AB50" s="47">
        <f t="shared" ca="1" si="41"/>
        <v>0.96228627699652902</v>
      </c>
      <c r="AC50" s="47">
        <f t="shared" ca="1" si="41"/>
        <v>0.95818395257533007</v>
      </c>
      <c r="AD50" s="47">
        <f t="shared" ca="1" si="41"/>
        <v>0.95392278575577916</v>
      </c>
      <c r="AE50" s="47">
        <f t="shared" ca="1" si="41"/>
        <v>0.94950996867760606</v>
      </c>
      <c r="AF50" s="47">
        <f t="shared" ca="1" si="41"/>
        <v>0.94495252629562709</v>
      </c>
      <c r="AG50" s="47">
        <f t="shared" ca="1" si="41"/>
        <v>0.94025731553737757</v>
      </c>
      <c r="AH50" s="47">
        <f t="shared" ca="1" si="41"/>
        <v>0.93543102486371177</v>
      </c>
      <c r="AI50" s="47">
        <f t="shared" ca="1" si="41"/>
        <v>0.93048017420070239</v>
      </c>
      <c r="AJ50" s="47">
        <f t="shared" ca="1" si="41"/>
        <v>0.92541111521285202</v>
      </c>
      <c r="AK50" s="47">
        <f t="shared" ca="1" si="41"/>
        <v>0.92023003188927088</v>
      </c>
      <c r="AL50" s="47">
        <f t="shared" ca="1" si="41"/>
        <v>0.91494294141605081</v>
      </c>
      <c r="AM50" s="47">
        <f t="shared" ca="1" si="41"/>
        <v>0.90955569530959979</v>
      </c>
      <c r="AN50" s="47">
        <f t="shared" ca="1" si="41"/>
        <v>0.90407398078716883</v>
      </c>
      <c r="AO50" s="47">
        <f t="shared" ca="1" si="41"/>
        <v>0.89850332235222086</v>
      </c>
      <c r="AP50" s="47">
        <f t="shared" ca="1" si="41"/>
        <v>0.89284908357364856</v>
      </c>
      <c r="AQ50" s="47">
        <f t="shared" ca="1" si="41"/>
        <v>0.88711646903914987</v>
      </c>
      <c r="AR50" s="47">
        <f t="shared" ca="1" si="41"/>
        <v>0.88131052646431329</v>
      </c>
      <c r="AS50" s="47">
        <f t="shared" ca="1" si="41"/>
        <v>0.87543614894015442</v>
      </c>
      <c r="AT50" s="47">
        <f t="shared" ca="1" si="41"/>
        <v>0.86949807730297801</v>
      </c>
      <c r="AU50" s="47">
        <f t="shared" ca="1" si="41"/>
        <v>0.86350090261151646</v>
      </c>
      <c r="AV50" s="47">
        <f t="shared" ca="1" si="41"/>
        <v>0.85744906871732385</v>
      </c>
      <c r="AW50" s="47">
        <f t="shared" ca="1" si="41"/>
        <v>0.85134687491537753</v>
      </c>
      <c r="AX50" s="47">
        <f t="shared" ca="1" si="41"/>
        <v>0.84519847866276099</v>
      </c>
      <c r="AY50" s="56">
        <f t="shared" ca="1" si="41"/>
        <v>0.83900789835418033</v>
      </c>
    </row>
    <row r="51" spans="1:254" x14ac:dyDescent="0.2">
      <c r="K51" s="55" t="s">
        <v>15</v>
      </c>
      <c r="L51" s="51">
        <f t="shared" ref="L51:AY51" ca="1" si="42">(1-EXP(-MeanRev*L9))/MeanRev</f>
        <v>0.24690087971667385</v>
      </c>
      <c r="M51" s="52">
        <f t="shared" ca="1" si="42"/>
        <v>0.48770575499285984</v>
      </c>
      <c r="N51" s="52">
        <f t="shared" ca="1" si="42"/>
        <v>0.72256513671447142</v>
      </c>
      <c r="O51" s="52">
        <f t="shared" ca="1" si="42"/>
        <v>0.95162581964040482</v>
      </c>
      <c r="P51" s="52">
        <f t="shared" ca="1" si="42"/>
        <v>1.1750309741540454</v>
      </c>
      <c r="Q51" s="52">
        <f t="shared" ca="1" si="42"/>
        <v>1.3929202357494219</v>
      </c>
      <c r="R51" s="52">
        <f t="shared" ca="1" si="42"/>
        <v>1.6054297923079264</v>
      </c>
      <c r="S51" s="52">
        <f t="shared" ca="1" si="42"/>
        <v>1.8126924692201818</v>
      </c>
      <c r="T51" s="52">
        <f t="shared" ca="1" si="42"/>
        <v>2.0148378124062294</v>
      </c>
      <c r="U51" s="52">
        <f t="shared" ca="1" si="42"/>
        <v>2.211992169285951</v>
      </c>
      <c r="V51" s="52">
        <f t="shared" ca="1" si="42"/>
        <v>2.404278767750315</v>
      </c>
      <c r="W51" s="52">
        <f t="shared" ca="1" si="42"/>
        <v>2.591817793182821</v>
      </c>
      <c r="X51" s="52">
        <f t="shared" ca="1" si="42"/>
        <v>2.7747264635792779</v>
      </c>
      <c r="Y51" s="52">
        <f t="shared" ca="1" si="42"/>
        <v>2.9531191028128654</v>
      </c>
      <c r="Z51" s="52">
        <f t="shared" ca="1" si="42"/>
        <v>3.1271072120902774</v>
      </c>
      <c r="AA51" s="52">
        <f t="shared" ca="1" si="42"/>
        <v>3.2967995396436067</v>
      </c>
      <c r="AB51" s="52">
        <f t="shared" ca="1" si="42"/>
        <v>3.4623021487015269</v>
      </c>
      <c r="AC51" s="52">
        <f t="shared" ca="1" si="42"/>
        <v>3.6237184837822665</v>
      </c>
      <c r="AD51" s="52">
        <f t="shared" ca="1" si="42"/>
        <v>3.7811494353497999</v>
      </c>
      <c r="AE51" s="52">
        <f t="shared" ca="1" si="42"/>
        <v>3.9346934028736658</v>
      </c>
      <c r="AF51" s="52">
        <f t="shared" ca="1" si="42"/>
        <v>4.0844463563318483</v>
      </c>
      <c r="AG51" s="52">
        <f t="shared" ca="1" si="42"/>
        <v>4.2305018961951335</v>
      </c>
      <c r="AH51" s="52">
        <f t="shared" ca="1" si="42"/>
        <v>4.3729513119304428</v>
      </c>
      <c r="AI51" s="52">
        <f t="shared" ca="1" si="42"/>
        <v>4.5118836390597359</v>
      </c>
      <c r="AJ51" s="52">
        <f t="shared" ca="1" si="42"/>
        <v>4.6473857148100972</v>
      </c>
      <c r="AK51" s="52">
        <f t="shared" ca="1" si="42"/>
        <v>4.7795422323898391</v>
      </c>
      <c r="AL51" s="52">
        <f t="shared" ca="1" si="42"/>
        <v>4.9084357939245082</v>
      </c>
      <c r="AM51" s="52">
        <f t="shared" ca="1" si="42"/>
        <v>5.0341469620859058</v>
      </c>
      <c r="AN51" s="52">
        <f t="shared" ca="1" si="42"/>
        <v>5.1567543104463764</v>
      </c>
      <c r="AO51" s="52">
        <f t="shared" ca="1" si="42"/>
        <v>5.2763344725898529</v>
      </c>
      <c r="AP51" s="52">
        <f t="shared" ca="1" si="42"/>
        <v>5.3929621900103415</v>
      </c>
      <c r="AQ51" s="52">
        <f t="shared" ca="1" si="42"/>
        <v>5.5067103588277844</v>
      </c>
      <c r="AR51" s="52">
        <f t="shared" ca="1" si="42"/>
        <v>5.6176500753505083</v>
      </c>
      <c r="AS51" s="52">
        <f t="shared" ca="1" si="42"/>
        <v>5.7258506805127336</v>
      </c>
      <c r="AT51" s="52">
        <f t="shared" ca="1" si="42"/>
        <v>5.8313798032149151</v>
      </c>
      <c r="AU51" s="52">
        <f t="shared" ca="1" si="42"/>
        <v>5.9343034025940087</v>
      </c>
      <c r="AV51" s="52">
        <f t="shared" ca="1" si="42"/>
        <v>6.034685809250071</v>
      </c>
      <c r="AW51" s="52">
        <f t="shared" ca="1" si="42"/>
        <v>6.1325897654549877</v>
      </c>
      <c r="AX51" s="52">
        <f t="shared" ca="1" si="42"/>
        <v>6.2280764643684305</v>
      </c>
      <c r="AY51" s="53">
        <f t="shared" ca="1" si="42"/>
        <v>6.3212055882855767</v>
      </c>
    </row>
    <row r="52" spans="1:254" x14ac:dyDescent="0.2">
      <c r="B52" s="13"/>
      <c r="C52" s="10" t="s">
        <v>1</v>
      </c>
      <c r="D52" s="9" t="s">
        <v>16</v>
      </c>
      <c r="E52" s="10" t="s">
        <v>13</v>
      </c>
      <c r="G52" s="6"/>
    </row>
    <row r="53" spans="1:254" s="11" customFormat="1" x14ac:dyDescent="0.2">
      <c r="A53" s="45">
        <f>MAX(D53:D93)</f>
        <v>9.3884080179426177E-2</v>
      </c>
      <c r="B53" s="12">
        <v>0</v>
      </c>
      <c r="C53" s="2">
        <f t="shared" ref="C53:C93" si="43">SUMIF(E53:IT53,"&gt;0")/250</f>
        <v>3.5155339676342656E-3</v>
      </c>
      <c r="D53" s="3">
        <f t="shared" ref="D53:D93" si="44">SMALL(E53:IT53,90%*250)</f>
        <v>3.5155339676342656E-3</v>
      </c>
      <c r="E53" s="8">
        <v>3.5155339676342656E-3</v>
      </c>
      <c r="F53" s="8">
        <v>3.5155339676342656E-3</v>
      </c>
      <c r="G53" s="8">
        <v>3.5155339676342656E-3</v>
      </c>
      <c r="H53" s="8">
        <v>3.5155339676342656E-3</v>
      </c>
      <c r="I53" s="8">
        <v>3.5155339676342656E-3</v>
      </c>
      <c r="J53" s="8">
        <v>3.5155339676342656E-3</v>
      </c>
      <c r="K53" s="8">
        <v>3.5155339676342656E-3</v>
      </c>
      <c r="L53" s="8">
        <v>3.5155339676342656E-3</v>
      </c>
      <c r="M53" s="8">
        <v>3.5155339676342656E-3</v>
      </c>
      <c r="N53" s="8">
        <v>3.5155339676342656E-3</v>
      </c>
      <c r="O53" s="8">
        <v>3.5155339676342656E-3</v>
      </c>
      <c r="P53" s="8">
        <v>3.5155339676342656E-3</v>
      </c>
      <c r="Q53" s="8">
        <v>3.5155339676342656E-3</v>
      </c>
      <c r="R53" s="8">
        <v>3.5155339676342656E-3</v>
      </c>
      <c r="S53" s="8">
        <v>3.5155339676342656E-3</v>
      </c>
      <c r="T53" s="8">
        <v>3.5155339676342656E-3</v>
      </c>
      <c r="U53" s="8">
        <v>3.5155339676342656E-3</v>
      </c>
      <c r="V53" s="8">
        <v>3.5155339676342656E-3</v>
      </c>
      <c r="W53" s="8">
        <v>3.5155339676342656E-3</v>
      </c>
      <c r="X53" s="8">
        <v>3.5155339676342656E-3</v>
      </c>
      <c r="Y53" s="8">
        <v>3.5155339676342656E-3</v>
      </c>
      <c r="Z53" s="8">
        <v>3.5155339676342656E-3</v>
      </c>
      <c r="AA53" s="8">
        <v>3.5155339676342656E-3</v>
      </c>
      <c r="AB53" s="8">
        <v>3.5155339676342656E-3</v>
      </c>
      <c r="AC53" s="8">
        <v>3.5155339676342656E-3</v>
      </c>
      <c r="AD53" s="8">
        <v>3.5155339676342656E-3</v>
      </c>
      <c r="AE53" s="8">
        <v>3.5155339676342656E-3</v>
      </c>
      <c r="AF53" s="8">
        <v>3.5155339676342656E-3</v>
      </c>
      <c r="AG53" s="8">
        <v>3.5155339676342656E-3</v>
      </c>
      <c r="AH53" s="8">
        <v>3.5155339676342656E-3</v>
      </c>
      <c r="AI53" s="8">
        <v>3.5155339676342656E-3</v>
      </c>
      <c r="AJ53" s="8">
        <v>3.5155339676342656E-3</v>
      </c>
      <c r="AK53" s="8">
        <v>3.5155339676342656E-3</v>
      </c>
      <c r="AL53" s="8">
        <v>3.5155339676342656E-3</v>
      </c>
      <c r="AM53" s="8">
        <v>3.5155339676342656E-3</v>
      </c>
      <c r="AN53" s="8">
        <v>3.5155339676342656E-3</v>
      </c>
      <c r="AO53" s="8">
        <v>3.5155339676342656E-3</v>
      </c>
      <c r="AP53" s="8">
        <v>3.5155339676342656E-3</v>
      </c>
      <c r="AQ53" s="8">
        <v>3.5155339676342656E-3</v>
      </c>
      <c r="AR53" s="8">
        <v>3.5155339676342656E-3</v>
      </c>
      <c r="AS53" s="8">
        <v>3.5155339676342656E-3</v>
      </c>
      <c r="AT53" s="8">
        <v>3.5155339676342656E-3</v>
      </c>
      <c r="AU53" s="8">
        <v>3.5155339676342656E-3</v>
      </c>
      <c r="AV53" s="8">
        <v>3.5155339676342656E-3</v>
      </c>
      <c r="AW53" s="8">
        <v>3.5155339676342656E-3</v>
      </c>
      <c r="AX53" s="8">
        <v>3.5155339676342656E-3</v>
      </c>
      <c r="AY53" s="8">
        <v>3.5155339676342656E-3</v>
      </c>
      <c r="AZ53" s="8">
        <v>3.5155339676342656E-3</v>
      </c>
      <c r="BA53" s="8">
        <v>3.5155339676342656E-3</v>
      </c>
      <c r="BB53" s="8">
        <v>3.5155339676342656E-3</v>
      </c>
      <c r="BC53" s="8">
        <v>3.5155339676342656E-3</v>
      </c>
      <c r="BD53" s="8">
        <v>3.5155339676342656E-3</v>
      </c>
      <c r="BE53" s="8">
        <v>3.5155339676342656E-3</v>
      </c>
      <c r="BF53" s="8">
        <v>3.5155339676342656E-3</v>
      </c>
      <c r="BG53" s="8">
        <v>3.5155339676342656E-3</v>
      </c>
      <c r="BH53" s="8">
        <v>3.5155339676342656E-3</v>
      </c>
      <c r="BI53" s="8">
        <v>3.5155339676342656E-3</v>
      </c>
      <c r="BJ53" s="8">
        <v>3.5155339676342656E-3</v>
      </c>
      <c r="BK53" s="8">
        <v>3.5155339676342656E-3</v>
      </c>
      <c r="BL53" s="8">
        <v>3.5155339676342656E-3</v>
      </c>
      <c r="BM53" s="8">
        <v>3.5155339676342656E-3</v>
      </c>
      <c r="BN53" s="8">
        <v>3.5155339676342656E-3</v>
      </c>
      <c r="BO53" s="8">
        <v>3.5155339676342656E-3</v>
      </c>
      <c r="BP53" s="8">
        <v>3.5155339676342656E-3</v>
      </c>
      <c r="BQ53" s="8">
        <v>3.5155339676342656E-3</v>
      </c>
      <c r="BR53" s="8">
        <v>3.5155339676342656E-3</v>
      </c>
      <c r="BS53" s="8">
        <v>3.5155339676342656E-3</v>
      </c>
      <c r="BT53" s="8">
        <v>3.5155339676342656E-3</v>
      </c>
      <c r="BU53" s="8">
        <v>3.5155339676342656E-3</v>
      </c>
      <c r="BV53" s="8">
        <v>3.5155339676342656E-3</v>
      </c>
      <c r="BW53" s="8">
        <v>3.5155339676342656E-3</v>
      </c>
      <c r="BX53" s="8">
        <v>3.5155339676342656E-3</v>
      </c>
      <c r="BY53" s="8">
        <v>3.5155339676342656E-3</v>
      </c>
      <c r="BZ53" s="8">
        <v>3.5155339676342656E-3</v>
      </c>
      <c r="CA53" s="8">
        <v>3.5155339676342656E-3</v>
      </c>
      <c r="CB53" s="8">
        <v>3.5155339676342656E-3</v>
      </c>
      <c r="CC53" s="8">
        <v>3.5155339676342656E-3</v>
      </c>
      <c r="CD53" s="8">
        <v>3.5155339676342656E-3</v>
      </c>
      <c r="CE53" s="8">
        <v>3.5155339676342656E-3</v>
      </c>
      <c r="CF53" s="8">
        <v>3.5155339676342656E-3</v>
      </c>
      <c r="CG53" s="8">
        <v>3.5155339676342656E-3</v>
      </c>
      <c r="CH53" s="8">
        <v>3.5155339676342656E-3</v>
      </c>
      <c r="CI53" s="8">
        <v>3.5155339676342656E-3</v>
      </c>
      <c r="CJ53" s="8">
        <v>3.5155339676342656E-3</v>
      </c>
      <c r="CK53" s="8">
        <v>3.5155339676342656E-3</v>
      </c>
      <c r="CL53" s="8">
        <v>3.5155339676342656E-3</v>
      </c>
      <c r="CM53" s="8">
        <v>3.5155339676342656E-3</v>
      </c>
      <c r="CN53" s="8">
        <v>3.5155339676342656E-3</v>
      </c>
      <c r="CO53" s="8">
        <v>3.5155339676342656E-3</v>
      </c>
      <c r="CP53" s="8">
        <v>3.5155339676342656E-3</v>
      </c>
      <c r="CQ53" s="8">
        <v>3.5155339676342656E-3</v>
      </c>
      <c r="CR53" s="8">
        <v>3.5155339676342656E-3</v>
      </c>
      <c r="CS53" s="8">
        <v>3.5155339676342656E-3</v>
      </c>
      <c r="CT53" s="8">
        <v>3.5155339676342656E-3</v>
      </c>
      <c r="CU53" s="8">
        <v>3.5155339676342656E-3</v>
      </c>
      <c r="CV53" s="8">
        <v>3.5155339676342656E-3</v>
      </c>
      <c r="CW53" s="8">
        <v>3.5155339676342656E-3</v>
      </c>
      <c r="CX53" s="8">
        <v>3.5155339676342656E-3</v>
      </c>
      <c r="CY53" s="8">
        <v>3.5155339676342656E-3</v>
      </c>
      <c r="CZ53" s="8">
        <v>3.5155339676342656E-3</v>
      </c>
      <c r="DA53" s="8">
        <v>3.5155339676342656E-3</v>
      </c>
      <c r="DB53" s="8">
        <v>3.5155339676342656E-3</v>
      </c>
      <c r="DC53" s="8">
        <v>3.5155339676342656E-3</v>
      </c>
      <c r="DD53" s="8">
        <v>3.5155339676342656E-3</v>
      </c>
      <c r="DE53" s="8">
        <v>3.5155339676342656E-3</v>
      </c>
      <c r="DF53" s="8">
        <v>3.5155339676342656E-3</v>
      </c>
      <c r="DG53" s="8">
        <v>3.5155339676342656E-3</v>
      </c>
      <c r="DH53" s="8">
        <v>3.5155339676342656E-3</v>
      </c>
      <c r="DI53" s="8">
        <v>3.5155339676342656E-3</v>
      </c>
      <c r="DJ53" s="8">
        <v>3.5155339676342656E-3</v>
      </c>
      <c r="DK53" s="8">
        <v>3.5155339676342656E-3</v>
      </c>
      <c r="DL53" s="8">
        <v>3.5155339676342656E-3</v>
      </c>
      <c r="DM53" s="8">
        <v>3.5155339676342656E-3</v>
      </c>
      <c r="DN53" s="8">
        <v>3.5155339676342656E-3</v>
      </c>
      <c r="DO53" s="8">
        <v>3.5155339676342656E-3</v>
      </c>
      <c r="DP53" s="8">
        <v>3.5155339676342656E-3</v>
      </c>
      <c r="DQ53" s="8">
        <v>3.5155339676342656E-3</v>
      </c>
      <c r="DR53" s="8">
        <v>3.5155339676342656E-3</v>
      </c>
      <c r="DS53" s="8">
        <v>3.5155339676342656E-3</v>
      </c>
      <c r="DT53" s="8">
        <v>3.5155339676342656E-3</v>
      </c>
      <c r="DU53" s="8">
        <v>3.5155339676342656E-3</v>
      </c>
      <c r="DV53" s="8">
        <v>3.5155339676342656E-3</v>
      </c>
      <c r="DW53" s="8">
        <v>3.5155339676342656E-3</v>
      </c>
      <c r="DX53" s="8">
        <v>3.5155339676342656E-3</v>
      </c>
      <c r="DY53" s="8">
        <v>3.5155339676342656E-3</v>
      </c>
      <c r="DZ53" s="8">
        <v>3.5155339676342656E-3</v>
      </c>
      <c r="EA53" s="8">
        <v>3.5155339676342656E-3</v>
      </c>
      <c r="EB53" s="8">
        <v>3.5155339676342656E-3</v>
      </c>
      <c r="EC53" s="8">
        <v>3.5155339676342656E-3</v>
      </c>
      <c r="ED53" s="8">
        <v>3.5155339676342656E-3</v>
      </c>
      <c r="EE53" s="8">
        <v>3.5155339676342656E-3</v>
      </c>
      <c r="EF53" s="8">
        <v>3.5155339676342656E-3</v>
      </c>
      <c r="EG53" s="8">
        <v>3.5155339676342656E-3</v>
      </c>
      <c r="EH53" s="8">
        <v>3.5155339676342656E-3</v>
      </c>
      <c r="EI53" s="8">
        <v>3.5155339676342656E-3</v>
      </c>
      <c r="EJ53" s="8">
        <v>3.5155339676342656E-3</v>
      </c>
      <c r="EK53" s="8">
        <v>3.5155339676342656E-3</v>
      </c>
      <c r="EL53" s="8">
        <v>3.5155339676342656E-3</v>
      </c>
      <c r="EM53" s="8">
        <v>3.5155339676342656E-3</v>
      </c>
      <c r="EN53" s="8">
        <v>3.5155339676342656E-3</v>
      </c>
      <c r="EO53" s="8">
        <v>3.5155339676342656E-3</v>
      </c>
      <c r="EP53" s="8">
        <v>3.5155339676342656E-3</v>
      </c>
      <c r="EQ53" s="8">
        <v>3.5155339676342656E-3</v>
      </c>
      <c r="ER53" s="8">
        <v>3.5155339676342656E-3</v>
      </c>
      <c r="ES53" s="8">
        <v>3.5155339676342656E-3</v>
      </c>
      <c r="ET53" s="8">
        <v>3.5155339676342656E-3</v>
      </c>
      <c r="EU53" s="8">
        <v>3.5155339676342656E-3</v>
      </c>
      <c r="EV53" s="8">
        <v>3.5155339676342656E-3</v>
      </c>
      <c r="EW53" s="8">
        <v>3.5155339676342656E-3</v>
      </c>
      <c r="EX53" s="8">
        <v>3.5155339676342656E-3</v>
      </c>
      <c r="EY53" s="8">
        <v>3.5155339676342656E-3</v>
      </c>
      <c r="EZ53" s="8">
        <v>3.5155339676342656E-3</v>
      </c>
      <c r="FA53" s="8">
        <v>3.5155339676342656E-3</v>
      </c>
      <c r="FB53" s="8">
        <v>3.5155339676342656E-3</v>
      </c>
      <c r="FC53" s="8">
        <v>3.5155339676342656E-3</v>
      </c>
      <c r="FD53" s="8">
        <v>3.5155339676342656E-3</v>
      </c>
      <c r="FE53" s="8">
        <v>3.5155339676342656E-3</v>
      </c>
      <c r="FF53" s="8">
        <v>3.5155339676342656E-3</v>
      </c>
      <c r="FG53" s="8">
        <v>3.5155339676342656E-3</v>
      </c>
      <c r="FH53" s="8">
        <v>3.5155339676342656E-3</v>
      </c>
      <c r="FI53" s="8">
        <v>3.5155339676342656E-3</v>
      </c>
      <c r="FJ53" s="8">
        <v>3.5155339676342656E-3</v>
      </c>
      <c r="FK53" s="8">
        <v>3.5155339676342656E-3</v>
      </c>
      <c r="FL53" s="8">
        <v>3.5155339676342656E-3</v>
      </c>
      <c r="FM53" s="8">
        <v>3.5155339676342656E-3</v>
      </c>
      <c r="FN53" s="8">
        <v>3.5155339676342656E-3</v>
      </c>
      <c r="FO53" s="8">
        <v>3.5155339676342656E-3</v>
      </c>
      <c r="FP53" s="8">
        <v>3.5155339676342656E-3</v>
      </c>
      <c r="FQ53" s="8">
        <v>3.5155339676342656E-3</v>
      </c>
      <c r="FR53" s="8">
        <v>3.5155339676342656E-3</v>
      </c>
      <c r="FS53" s="8">
        <v>3.5155339676342656E-3</v>
      </c>
      <c r="FT53" s="8">
        <v>3.5155339676342656E-3</v>
      </c>
      <c r="FU53" s="8">
        <v>3.5155339676342656E-3</v>
      </c>
      <c r="FV53" s="8">
        <v>3.5155339676342656E-3</v>
      </c>
      <c r="FW53" s="8">
        <v>3.5155339676342656E-3</v>
      </c>
      <c r="FX53" s="8">
        <v>3.5155339676342656E-3</v>
      </c>
      <c r="FY53" s="8">
        <v>3.5155339676342656E-3</v>
      </c>
      <c r="FZ53" s="8">
        <v>3.5155339676342656E-3</v>
      </c>
      <c r="GA53" s="8">
        <v>3.5155339676342656E-3</v>
      </c>
      <c r="GB53" s="8">
        <v>3.5155339676342656E-3</v>
      </c>
      <c r="GC53" s="8">
        <v>3.5155339676342656E-3</v>
      </c>
      <c r="GD53" s="8">
        <v>3.5155339676342656E-3</v>
      </c>
      <c r="GE53" s="8">
        <v>3.5155339676342656E-3</v>
      </c>
      <c r="GF53" s="8">
        <v>3.5155339676342656E-3</v>
      </c>
      <c r="GG53" s="8">
        <v>3.5155339676342656E-3</v>
      </c>
      <c r="GH53" s="8">
        <v>3.5155339676342656E-3</v>
      </c>
      <c r="GI53" s="8">
        <v>3.5155339676342656E-3</v>
      </c>
      <c r="GJ53" s="8">
        <v>3.5155339676342656E-3</v>
      </c>
      <c r="GK53" s="8">
        <v>3.5155339676342656E-3</v>
      </c>
      <c r="GL53" s="8">
        <v>3.5155339676342656E-3</v>
      </c>
      <c r="GM53" s="8">
        <v>3.5155339676342656E-3</v>
      </c>
      <c r="GN53" s="8">
        <v>3.5155339676342656E-3</v>
      </c>
      <c r="GO53" s="8">
        <v>3.5155339676342656E-3</v>
      </c>
      <c r="GP53" s="8">
        <v>3.5155339676342656E-3</v>
      </c>
      <c r="GQ53" s="8">
        <v>3.5155339676342656E-3</v>
      </c>
      <c r="GR53" s="8">
        <v>3.5155339676342656E-3</v>
      </c>
      <c r="GS53" s="8">
        <v>3.5155339676342656E-3</v>
      </c>
      <c r="GT53" s="8">
        <v>3.5155339676342656E-3</v>
      </c>
      <c r="GU53" s="8">
        <v>3.5155339676342656E-3</v>
      </c>
      <c r="GV53" s="8">
        <v>3.5155339676342656E-3</v>
      </c>
      <c r="GW53" s="8">
        <v>3.5155339676342656E-3</v>
      </c>
      <c r="GX53" s="8">
        <v>3.5155339676342656E-3</v>
      </c>
      <c r="GY53" s="8">
        <v>3.5155339676342656E-3</v>
      </c>
      <c r="GZ53" s="8">
        <v>3.5155339676342656E-3</v>
      </c>
      <c r="HA53" s="8">
        <v>3.5155339676342656E-3</v>
      </c>
      <c r="HB53" s="8">
        <v>3.5155339676342656E-3</v>
      </c>
      <c r="HC53" s="8">
        <v>3.5155339676342656E-3</v>
      </c>
      <c r="HD53" s="8">
        <v>3.5155339676342656E-3</v>
      </c>
      <c r="HE53" s="8">
        <v>3.5155339676342656E-3</v>
      </c>
      <c r="HF53" s="8">
        <v>3.5155339676342656E-3</v>
      </c>
      <c r="HG53" s="8">
        <v>3.5155339676342656E-3</v>
      </c>
      <c r="HH53" s="8">
        <v>3.5155339676342656E-3</v>
      </c>
      <c r="HI53" s="8">
        <v>3.5155339676342656E-3</v>
      </c>
      <c r="HJ53" s="8">
        <v>3.5155339676342656E-3</v>
      </c>
      <c r="HK53" s="8">
        <v>3.5155339676342656E-3</v>
      </c>
      <c r="HL53" s="8">
        <v>3.5155339676342656E-3</v>
      </c>
      <c r="HM53" s="8">
        <v>3.5155339676342656E-3</v>
      </c>
      <c r="HN53" s="8">
        <v>3.5155339676342656E-3</v>
      </c>
      <c r="HO53" s="8">
        <v>3.5155339676342656E-3</v>
      </c>
      <c r="HP53" s="8">
        <v>3.5155339676342656E-3</v>
      </c>
      <c r="HQ53" s="8">
        <v>3.5155339676342656E-3</v>
      </c>
      <c r="HR53" s="8">
        <v>3.5155339676342656E-3</v>
      </c>
      <c r="HS53" s="8">
        <v>3.5155339676342656E-3</v>
      </c>
      <c r="HT53" s="8">
        <v>3.5155339676342656E-3</v>
      </c>
      <c r="HU53" s="8">
        <v>3.5155339676342656E-3</v>
      </c>
      <c r="HV53" s="8">
        <v>3.5155339676342656E-3</v>
      </c>
      <c r="HW53" s="8">
        <v>3.5155339676342656E-3</v>
      </c>
      <c r="HX53" s="8">
        <v>3.5155339676342656E-3</v>
      </c>
      <c r="HY53" s="8">
        <v>3.5155339676342656E-3</v>
      </c>
      <c r="HZ53" s="8">
        <v>3.5155339676342656E-3</v>
      </c>
      <c r="IA53" s="8">
        <v>3.5155339676342656E-3</v>
      </c>
      <c r="IB53" s="8">
        <v>3.5155339676342656E-3</v>
      </c>
      <c r="IC53" s="8">
        <v>3.5155339676342656E-3</v>
      </c>
      <c r="ID53" s="8">
        <v>3.5155339676342656E-3</v>
      </c>
      <c r="IE53" s="8">
        <v>3.5155339676342656E-3</v>
      </c>
      <c r="IF53" s="8">
        <v>3.5155339676342656E-3</v>
      </c>
      <c r="IG53" s="8">
        <v>3.5155339676342656E-3</v>
      </c>
      <c r="IH53" s="8">
        <v>3.5155339676342656E-3</v>
      </c>
      <c r="II53" s="8">
        <v>3.5155339676342656E-3</v>
      </c>
      <c r="IJ53" s="8">
        <v>3.5155339676342656E-3</v>
      </c>
      <c r="IK53" s="8">
        <v>3.5155339676342656E-3</v>
      </c>
      <c r="IL53" s="8">
        <v>3.5155339676342656E-3</v>
      </c>
      <c r="IM53" s="8">
        <v>3.5155339676342656E-3</v>
      </c>
      <c r="IN53" s="8">
        <v>3.5155339676342656E-3</v>
      </c>
      <c r="IO53" s="8">
        <v>3.5155339676342656E-3</v>
      </c>
      <c r="IP53" s="8">
        <v>3.5155339676342656E-3</v>
      </c>
      <c r="IQ53" s="8">
        <v>3.5155339676342656E-3</v>
      </c>
      <c r="IR53" s="8">
        <v>3.5155339676342656E-3</v>
      </c>
      <c r="IS53" s="8">
        <v>3.5155339676342656E-3</v>
      </c>
      <c r="IT53" s="8">
        <v>3.5155339676342656E-3</v>
      </c>
    </row>
    <row r="54" spans="1:254" s="11" customFormat="1" x14ac:dyDescent="0.2">
      <c r="A54" s="10"/>
      <c r="B54" s="12">
        <v>0.25</v>
      </c>
      <c r="C54" s="2">
        <f t="shared" si="43"/>
        <v>1.3452497916083909E-2</v>
      </c>
      <c r="D54" s="3">
        <f t="shared" si="44"/>
        <v>3.8806338057903456E-2</v>
      </c>
      <c r="E54" s="8">
        <v>-1.2352185881241984E-2</v>
      </c>
      <c r="F54" s="8">
        <v>1.1626511254875738E-2</v>
      </c>
      <c r="G54" s="8">
        <v>-3.1954597573711718E-2</v>
      </c>
      <c r="H54" s="8">
        <v>1.6705529525270602E-2</v>
      </c>
      <c r="I54" s="8">
        <v>4.6162267998299367E-2</v>
      </c>
      <c r="J54" s="8">
        <v>4.5144471255011975E-3</v>
      </c>
      <c r="K54" s="8">
        <v>-3.0722771009378258E-3</v>
      </c>
      <c r="L54" s="8">
        <v>1.8663069370828955E-2</v>
      </c>
      <c r="M54" s="8">
        <v>-4.6280516303975339E-2</v>
      </c>
      <c r="N54" s="8">
        <v>6.0333303458244059E-2</v>
      </c>
      <c r="O54" s="8">
        <v>-1.8422119884473953E-2</v>
      </c>
      <c r="P54" s="8">
        <v>-3.3857113250235216E-3</v>
      </c>
      <c r="Q54" s="8">
        <v>5.3881785021752282E-2</v>
      </c>
      <c r="R54" s="8">
        <v>1.0183409002003929E-2</v>
      </c>
      <c r="S54" s="8">
        <v>1.8747594682284097E-2</v>
      </c>
      <c r="T54" s="8">
        <v>-2.2226947938576269E-2</v>
      </c>
      <c r="U54" s="8">
        <v>-4.215029188055408E-2</v>
      </c>
      <c r="V54" s="8">
        <v>-1.3102346497222861E-2</v>
      </c>
      <c r="W54" s="8">
        <v>1.0022892952589957E-2</v>
      </c>
      <c r="X54" s="8">
        <v>-3.9230494296720542E-2</v>
      </c>
      <c r="Y54" s="8">
        <v>3.4766694129784448E-2</v>
      </c>
      <c r="Z54" s="8">
        <v>-5.1305316593776518E-2</v>
      </c>
      <c r="AA54" s="8">
        <v>-5.0016016035553945E-3</v>
      </c>
      <c r="AB54" s="8">
        <v>1.2140519678210671E-2</v>
      </c>
      <c r="AC54" s="8">
        <v>-1.7672012375420321E-2</v>
      </c>
      <c r="AD54" s="8">
        <v>1.8904160564855776E-2</v>
      </c>
      <c r="AE54" s="8">
        <v>3.0235462159441895E-2</v>
      </c>
      <c r="AF54" s="8">
        <v>-2.2726480756475431E-2</v>
      </c>
      <c r="AG54" s="8">
        <v>2.5289038108443851E-2</v>
      </c>
      <c r="AH54" s="8">
        <v>2.5705395410087983E-2</v>
      </c>
      <c r="AI54" s="8">
        <v>2.872216862460808E-2</v>
      </c>
      <c r="AJ54" s="8">
        <v>-8.0927187283445501E-3</v>
      </c>
      <c r="AK54" s="8">
        <v>7.3046406933897079E-2</v>
      </c>
      <c r="AL54" s="8">
        <v>1.6745101392038719E-2</v>
      </c>
      <c r="AM54" s="8">
        <v>3.6357574098717094E-3</v>
      </c>
      <c r="AN54" s="8">
        <v>-7.4512456739741384E-2</v>
      </c>
      <c r="AO54" s="8">
        <v>1.2583285677181699E-2</v>
      </c>
      <c r="AP54" s="8">
        <v>4.107015794552249E-2</v>
      </c>
      <c r="AQ54" s="8">
        <v>-2.2426391460892425E-3</v>
      </c>
      <c r="AR54" s="8">
        <v>6.4844363246864267E-3</v>
      </c>
      <c r="AS54" s="8">
        <v>-1.8340424652355691E-2</v>
      </c>
      <c r="AT54" s="8">
        <v>1.1654808460768051E-2</v>
      </c>
      <c r="AU54" s="8">
        <v>2.2197800751727281E-2</v>
      </c>
      <c r="AV54" s="8">
        <v>2.2371009307729617E-2</v>
      </c>
      <c r="AW54" s="8">
        <v>-2.032869436998741E-2</v>
      </c>
      <c r="AX54" s="8">
        <v>-2.0285610173786939E-4</v>
      </c>
      <c r="AY54" s="8">
        <v>9.7886016291471312E-3</v>
      </c>
      <c r="AZ54" s="8">
        <v>-5.1716156174819727E-3</v>
      </c>
      <c r="BA54" s="8">
        <v>-5.9995437266143758E-3</v>
      </c>
      <c r="BB54" s="8">
        <v>-6.4516440949848874E-3</v>
      </c>
      <c r="BC54" s="8">
        <v>3.6813558939983948E-2</v>
      </c>
      <c r="BD54" s="8">
        <v>4.052769764754266E-2</v>
      </c>
      <c r="BE54" s="8">
        <v>-3.6470305322118091E-2</v>
      </c>
      <c r="BF54" s="8">
        <v>1.9881186742201296E-2</v>
      </c>
      <c r="BG54" s="8">
        <v>3.5854241461354575E-2</v>
      </c>
      <c r="BH54" s="8">
        <v>5.2930261356509245E-2</v>
      </c>
      <c r="BI54" s="8">
        <v>2.7698676258738342E-3</v>
      </c>
      <c r="BJ54" s="8">
        <v>-1.5394663784767504E-2</v>
      </c>
      <c r="BK54" s="8">
        <v>2.2800794785201972E-2</v>
      </c>
      <c r="BL54" s="8">
        <v>2.5213722626246549E-2</v>
      </c>
      <c r="BM54" s="8">
        <v>-3.030150958819755E-3</v>
      </c>
      <c r="BN54" s="8">
        <v>1.709051086085972E-2</v>
      </c>
      <c r="BO54" s="8">
        <v>-1.8152366475349402E-2</v>
      </c>
      <c r="BP54" s="8">
        <v>-2.4412448096848172E-2</v>
      </c>
      <c r="BQ54" s="8">
        <v>2.042523203164226E-2</v>
      </c>
      <c r="BR54" s="8">
        <v>3.1438071340281093E-2</v>
      </c>
      <c r="BS54" s="8">
        <v>1.3766265868149774E-2</v>
      </c>
      <c r="BT54" s="8">
        <v>-7.2450712234466974E-3</v>
      </c>
      <c r="BU54" s="8">
        <v>3.2354737913386944E-2</v>
      </c>
      <c r="BV54" s="8">
        <v>4.8439433887786376E-2</v>
      </c>
      <c r="BW54" s="8">
        <v>8.0774260043564583E-4</v>
      </c>
      <c r="BX54" s="8">
        <v>-1.529399247445884E-2</v>
      </c>
      <c r="BY54" s="8">
        <v>1.87339190884937E-2</v>
      </c>
      <c r="BZ54" s="8">
        <v>-2.5602261566757045E-2</v>
      </c>
      <c r="CA54" s="8">
        <v>2.9611082835822256E-2</v>
      </c>
      <c r="CB54" s="8">
        <v>4.1527634297045535E-2</v>
      </c>
      <c r="CC54" s="8">
        <v>-5.1864553091541254E-3</v>
      </c>
      <c r="CD54" s="8">
        <v>4.3493746923596865E-2</v>
      </c>
      <c r="CE54" s="8">
        <v>4.9998914123714211E-2</v>
      </c>
      <c r="CF54" s="8">
        <v>2.1211933677405648E-2</v>
      </c>
      <c r="CG54" s="8">
        <v>-2.0754130282451044E-2</v>
      </c>
      <c r="CH54" s="8">
        <v>5.2468756867966315E-2</v>
      </c>
      <c r="CI54" s="8">
        <v>-3.8448328615760641E-2</v>
      </c>
      <c r="CJ54" s="8">
        <v>-3.3990967801009409E-2</v>
      </c>
      <c r="CK54" s="8">
        <v>3.6919717244953021E-2</v>
      </c>
      <c r="CL54" s="8">
        <v>-5.4013259536126457E-3</v>
      </c>
      <c r="CM54" s="8">
        <v>-1.0492278115117937E-2</v>
      </c>
      <c r="CN54" s="8">
        <v>5.9935803483222139E-2</v>
      </c>
      <c r="CO54" s="8">
        <v>-7.5093598292717556E-3</v>
      </c>
      <c r="CP54" s="8">
        <v>1.0271828194202526E-2</v>
      </c>
      <c r="CQ54" s="8">
        <v>-1.3293463424990937E-2</v>
      </c>
      <c r="CR54" s="8">
        <v>1.2750543192412089E-2</v>
      </c>
      <c r="CS54" s="8">
        <v>-2.0278694258246244E-2</v>
      </c>
      <c r="CT54" s="8">
        <v>8.535056452095402E-3</v>
      </c>
      <c r="CU54" s="8">
        <v>4.4520720677308057E-2</v>
      </c>
      <c r="CV54" s="8">
        <v>-3.7882219394745231E-2</v>
      </c>
      <c r="CW54" s="8">
        <v>-3.4577227887892747E-2</v>
      </c>
      <c r="CX54" s="8">
        <v>4.1315270518115732E-2</v>
      </c>
      <c r="CY54" s="8">
        <v>2.046123559035079E-2</v>
      </c>
      <c r="CZ54" s="8">
        <v>3.6972875703784713E-2</v>
      </c>
      <c r="DA54" s="8">
        <v>2.5611665950556084E-2</v>
      </c>
      <c r="DB54" s="8">
        <v>-1.926417926153956E-2</v>
      </c>
      <c r="DC54" s="8">
        <v>-2.250256018715252E-2</v>
      </c>
      <c r="DD54" s="8">
        <v>-2.7791641927539801E-3</v>
      </c>
      <c r="DE54" s="8">
        <v>2.0250015485380579E-2</v>
      </c>
      <c r="DF54" s="8">
        <v>9.9602280472234628E-3</v>
      </c>
      <c r="DG54" s="8">
        <v>1.2294455997209242E-2</v>
      </c>
      <c r="DH54" s="8">
        <v>-6.5441718704433216E-2</v>
      </c>
      <c r="DI54" s="8">
        <v>6.8794487617070965E-3</v>
      </c>
      <c r="DJ54" s="8">
        <v>-2.4448716158543049E-2</v>
      </c>
      <c r="DK54" s="8">
        <v>1.231614873909026E-2</v>
      </c>
      <c r="DL54" s="8">
        <v>-2.7117505668439013E-2</v>
      </c>
      <c r="DM54" s="8">
        <v>1.420806681540232E-2</v>
      </c>
      <c r="DN54" s="8">
        <v>-4.2176556586731029E-2</v>
      </c>
      <c r="DO54" s="8">
        <v>-1.8394521834237176E-2</v>
      </c>
      <c r="DP54" s="8">
        <v>-1.1235902334990056E-2</v>
      </c>
      <c r="DQ54" s="8">
        <v>-1.805021299204751E-2</v>
      </c>
      <c r="DR54" s="8">
        <v>-3.2144582532676047E-3</v>
      </c>
      <c r="DS54" s="8">
        <v>3.8806338057903456E-2</v>
      </c>
      <c r="DT54" s="8">
        <v>2.1896341282276577E-2</v>
      </c>
      <c r="DU54" s="8">
        <v>-9.0017118196086265E-3</v>
      </c>
      <c r="DV54" s="8">
        <v>1.845443680286879E-2</v>
      </c>
      <c r="DW54" s="8">
        <v>-1.1591105361317244E-2</v>
      </c>
      <c r="DX54" s="8">
        <v>1.593470172731537E-2</v>
      </c>
      <c r="DY54" s="8">
        <v>7.3787685999540664E-3</v>
      </c>
      <c r="DZ54" s="8">
        <v>3.6042166975197576E-3</v>
      </c>
      <c r="EA54" s="8">
        <v>8.5388767600013682E-3</v>
      </c>
      <c r="EB54" s="8">
        <v>4.9653988237095326E-2</v>
      </c>
      <c r="EC54" s="8">
        <v>9.8976840078060513E-3</v>
      </c>
      <c r="ED54" s="8">
        <v>3.1977202787614567E-2</v>
      </c>
      <c r="EE54" s="8">
        <v>-1.7156467972027356E-2</v>
      </c>
      <c r="EF54" s="8">
        <v>-2.5594531430217504E-2</v>
      </c>
      <c r="EG54" s="8">
        <v>2.3671970587210545E-2</v>
      </c>
      <c r="EH54" s="8">
        <v>1.8422864816737328E-2</v>
      </c>
      <c r="EI54" s="8">
        <v>-4.2949912053705963E-2</v>
      </c>
      <c r="EJ54" s="8">
        <v>1.7061754857254752E-2</v>
      </c>
      <c r="EK54" s="8">
        <v>2.9324654488864788E-2</v>
      </c>
      <c r="EL54" s="8">
        <v>-7.6198352321460439E-4</v>
      </c>
      <c r="EM54" s="8">
        <v>-7.4007170343159956E-4</v>
      </c>
      <c r="EN54" s="8">
        <v>-1.9554906008575512E-2</v>
      </c>
      <c r="EO54" s="8">
        <v>-1.2289865695476021E-2</v>
      </c>
      <c r="EP54" s="8">
        <v>5.852212154548786E-3</v>
      </c>
      <c r="EQ54" s="8">
        <v>3.6743473900147872E-2</v>
      </c>
      <c r="ER54" s="8">
        <v>2.5689045035984626E-2</v>
      </c>
      <c r="ES54" s="8">
        <v>2.464590205114281E-2</v>
      </c>
      <c r="ET54" s="8">
        <v>-3.6850225141298931E-2</v>
      </c>
      <c r="EU54" s="8">
        <v>-7.3696197934144947E-3</v>
      </c>
      <c r="EV54" s="8">
        <v>6.9260370085194589E-4</v>
      </c>
      <c r="EW54" s="8">
        <v>4.760186202922706E-2</v>
      </c>
      <c r="EX54" s="8">
        <v>6.9990349970877053E-3</v>
      </c>
      <c r="EY54" s="8">
        <v>-2.0683328173808357E-2</v>
      </c>
      <c r="EZ54" s="8">
        <v>1.4303146755642926E-2</v>
      </c>
      <c r="FA54" s="8">
        <v>3.5226804743730911E-2</v>
      </c>
      <c r="FB54" s="8">
        <v>-4.0585706155885082E-3</v>
      </c>
      <c r="FC54" s="8">
        <v>-5.0333731492401168E-2</v>
      </c>
      <c r="FD54" s="8">
        <v>-4.3179479318628478E-2</v>
      </c>
      <c r="FE54" s="8">
        <v>-1.0012963736514557E-2</v>
      </c>
      <c r="FF54" s="8">
        <v>1.7657157533210732E-3</v>
      </c>
      <c r="FG54" s="8">
        <v>-4.4206994447241466E-2</v>
      </c>
      <c r="FH54" s="8">
        <v>3.11556464527315E-2</v>
      </c>
      <c r="FI54" s="8">
        <v>3.8681357053107102E-2</v>
      </c>
      <c r="FJ54" s="8">
        <v>2.0269319829381571E-2</v>
      </c>
      <c r="FK54" s="8">
        <v>1.3319151587535494E-2</v>
      </c>
      <c r="FL54" s="8">
        <v>-1.5588637044579023E-3</v>
      </c>
      <c r="FM54" s="8">
        <v>2.5510626229985844E-2</v>
      </c>
      <c r="FN54" s="8">
        <v>-5.6891048944075595E-2</v>
      </c>
      <c r="FO54" s="8">
        <v>9.7661510188103429E-3</v>
      </c>
      <c r="FP54" s="8">
        <v>3.2256505563901194E-2</v>
      </c>
      <c r="FQ54" s="8">
        <v>-1.7505260492287233E-2</v>
      </c>
      <c r="FR54" s="8">
        <v>2.6842896623097245E-2</v>
      </c>
      <c r="FS54" s="8">
        <v>-2.5831998976116544E-2</v>
      </c>
      <c r="FT54" s="8">
        <v>2.7327497077832885E-2</v>
      </c>
      <c r="FU54" s="8">
        <v>2.1662534906998876E-2</v>
      </c>
      <c r="FV54" s="8">
        <v>3.3157382789709533E-2</v>
      </c>
      <c r="FW54" s="8">
        <v>3.3764541907607026E-2</v>
      </c>
      <c r="FX54" s="8">
        <v>1.0140456160990463E-2</v>
      </c>
      <c r="FY54" s="8">
        <v>-1.8097237699462143E-2</v>
      </c>
      <c r="FZ54" s="8">
        <v>1.9201124729213259E-2</v>
      </c>
      <c r="GA54" s="8">
        <v>-5.3947323060910324E-2</v>
      </c>
      <c r="GB54" s="8">
        <v>1.2985916775362649E-2</v>
      </c>
      <c r="GC54" s="8">
        <v>-1.3605964797504033E-2</v>
      </c>
      <c r="GD54" s="8">
        <v>-4.1072988505628627E-2</v>
      </c>
      <c r="GE54" s="8">
        <v>-7.2265777668675257E-3</v>
      </c>
      <c r="GF54" s="8">
        <v>1.0756513203590001E-2</v>
      </c>
      <c r="GG54" s="8">
        <v>1.2840236700038699E-2</v>
      </c>
      <c r="GH54" s="8">
        <v>-1.1406142219075099E-2</v>
      </c>
      <c r="GI54" s="8">
        <v>3.0417056911585694E-2</v>
      </c>
      <c r="GJ54" s="8">
        <v>-1.6761084361591183E-2</v>
      </c>
      <c r="GK54" s="8">
        <v>-1.9471389914750004E-2</v>
      </c>
      <c r="GL54" s="8">
        <v>1.7016499546745445E-2</v>
      </c>
      <c r="GM54" s="8">
        <v>6.5859832238965854E-2</v>
      </c>
      <c r="GN54" s="8">
        <v>2.5041709809878077E-2</v>
      </c>
      <c r="GO54" s="8">
        <v>3.9519311210375996E-2</v>
      </c>
      <c r="GP54" s="8">
        <v>-2.3901207134761293E-2</v>
      </c>
      <c r="GQ54" s="8">
        <v>-6.8051161583371766E-3</v>
      </c>
      <c r="GR54" s="8">
        <v>-2.9095113706415987E-2</v>
      </c>
      <c r="GS54" s="8">
        <v>-3.445620703454999E-3</v>
      </c>
      <c r="GT54" s="8">
        <v>-6.9349149632873974E-2</v>
      </c>
      <c r="GU54" s="8">
        <v>2.842040075645702E-4</v>
      </c>
      <c r="GV54" s="8">
        <v>-9.723681035692211E-3</v>
      </c>
      <c r="GW54" s="8">
        <v>-1.6700633625599204E-2</v>
      </c>
      <c r="GX54" s="8">
        <v>4.3522405120157703E-3</v>
      </c>
      <c r="GY54" s="8">
        <v>1.1646261618631415E-2</v>
      </c>
      <c r="GZ54" s="8">
        <v>-3.3524775167021958E-2</v>
      </c>
      <c r="HA54" s="8">
        <v>-3.2292813431216427E-2</v>
      </c>
      <c r="HB54" s="8">
        <v>1.8229858722231596E-2</v>
      </c>
      <c r="HC54" s="8">
        <v>-2.6916081452916074E-2</v>
      </c>
      <c r="HD54" s="8">
        <v>3.3725107550907407E-2</v>
      </c>
      <c r="HE54" s="8">
        <v>2.9824833328710776E-2</v>
      </c>
      <c r="HF54" s="8">
        <v>1.9734588026358968E-2</v>
      </c>
      <c r="HG54" s="8">
        <v>4.1589919685938059E-2</v>
      </c>
      <c r="HH54" s="8">
        <v>3.0118608990736262E-3</v>
      </c>
      <c r="HI54" s="8">
        <v>-8.8172188237674032E-3</v>
      </c>
      <c r="HJ54" s="8">
        <v>-2.0141334384170095E-2</v>
      </c>
      <c r="HK54" s="8">
        <v>-3.6853460790798875E-3</v>
      </c>
      <c r="HL54" s="8">
        <v>-1.3148658999456719E-2</v>
      </c>
      <c r="HM54" s="8">
        <v>1.5817072946688104E-2</v>
      </c>
      <c r="HN54" s="8">
        <v>1.3038284924601351E-3</v>
      </c>
      <c r="HO54" s="8">
        <v>9.6429076606882602E-3</v>
      </c>
      <c r="HP54" s="8">
        <v>-3.1942354593221201E-2</v>
      </c>
      <c r="HQ54" s="8">
        <v>1.6236977627990812E-2</v>
      </c>
      <c r="HR54" s="8">
        <v>1.2673471729170604E-2</v>
      </c>
      <c r="HS54" s="8">
        <v>-5.0240032257768408E-3</v>
      </c>
      <c r="HT54" s="8">
        <v>-3.8044638507801543E-2</v>
      </c>
      <c r="HU54" s="8">
        <v>1.6004348384696887E-2</v>
      </c>
      <c r="HV54" s="8">
        <v>4.5600831768629224E-2</v>
      </c>
      <c r="HW54" s="8">
        <v>2.5450181796644877E-2</v>
      </c>
      <c r="HX54" s="8">
        <v>3.9573649176043668E-2</v>
      </c>
      <c r="HY54" s="8">
        <v>1.4680484968508933E-2</v>
      </c>
      <c r="HZ54" s="8">
        <v>-3.0566680844427263E-2</v>
      </c>
      <c r="IA54" s="8">
        <v>9.9166605075543535E-3</v>
      </c>
      <c r="IB54" s="8">
        <v>5.220834833259691E-2</v>
      </c>
      <c r="IC54" s="8">
        <v>4.3420393113104971E-3</v>
      </c>
      <c r="ID54" s="8">
        <v>-8.7521965962557569E-3</v>
      </c>
      <c r="IE54" s="8">
        <v>-2.769275972617119E-2</v>
      </c>
      <c r="IF54" s="8">
        <v>-4.9181787073809824E-3</v>
      </c>
      <c r="IG54" s="8">
        <v>4.2230177805462898E-2</v>
      </c>
      <c r="IH54" s="8">
        <v>6.6968202436548108E-3</v>
      </c>
      <c r="II54" s="8">
        <v>-3.963218858418216E-4</v>
      </c>
      <c r="IJ54" s="8">
        <v>-2.4348872270966215E-2</v>
      </c>
      <c r="IK54" s="8">
        <v>1.7959858396464079E-2</v>
      </c>
      <c r="IL54" s="8">
        <v>-4.1580498181634118E-2</v>
      </c>
      <c r="IM54" s="8">
        <v>-1.2263037729148496E-2</v>
      </c>
      <c r="IN54" s="8">
        <v>4.9309065109867101E-2</v>
      </c>
      <c r="IO54" s="8">
        <v>3.4091944198781809E-2</v>
      </c>
      <c r="IP54" s="8">
        <v>-3.0186796769203439E-2</v>
      </c>
      <c r="IQ54" s="8">
        <v>2.9996038803486613E-2</v>
      </c>
      <c r="IR54" s="8">
        <v>1.9213911834414898E-2</v>
      </c>
      <c r="IS54" s="8">
        <v>8.5971071607090499E-3</v>
      </c>
      <c r="IT54" s="8">
        <v>-1.7427962329326585E-2</v>
      </c>
    </row>
    <row r="55" spans="1:254" s="11" customFormat="1" x14ac:dyDescent="0.2">
      <c r="A55" s="10"/>
      <c r="B55" s="12">
        <v>0.5</v>
      </c>
      <c r="C55" s="2">
        <f t="shared" si="43"/>
        <v>1.772364664278564E-2</v>
      </c>
      <c r="D55" s="3">
        <f t="shared" si="44"/>
        <v>5.2239394594206512E-2</v>
      </c>
      <c r="E55" s="8">
        <v>-2.088008163694699E-2</v>
      </c>
      <c r="F55" s="8">
        <v>8.0764333069355265E-3</v>
      </c>
      <c r="G55" s="8">
        <v>-4.4204411429428214E-2</v>
      </c>
      <c r="H55" s="8">
        <v>9.0984050424474661E-3</v>
      </c>
      <c r="I55" s="8">
        <v>1.579903566323293E-2</v>
      </c>
      <c r="J55" s="8">
        <v>-3.3762135258257109E-2</v>
      </c>
      <c r="K55" s="8">
        <v>-1.4488771566141923E-2</v>
      </c>
      <c r="L55" s="8">
        <v>2.9984313056088341E-2</v>
      </c>
      <c r="M55" s="8">
        <v>-5.095177201995249E-2</v>
      </c>
      <c r="N55" s="8">
        <v>3.5029743611022124E-2</v>
      </c>
      <c r="O55" s="8">
        <v>4.0941907903814245E-3</v>
      </c>
      <c r="P55" s="8">
        <v>-1.6375114454154738E-2</v>
      </c>
      <c r="Q55" s="8">
        <v>6.9887265482420857E-2</v>
      </c>
      <c r="R55" s="8">
        <v>-1.9361601931838779E-3</v>
      </c>
      <c r="S55" s="8">
        <v>-4.5184395245651543E-3</v>
      </c>
      <c r="T55" s="8">
        <v>-1.1908890323870047E-2</v>
      </c>
      <c r="U55" s="8">
        <v>-5.9704025536531313E-2</v>
      </c>
      <c r="V55" s="8">
        <v>-4.2911544181803984E-3</v>
      </c>
      <c r="W55" s="8">
        <v>6.6676907309836664E-2</v>
      </c>
      <c r="X55" s="8">
        <v>-7.595798271361931E-2</v>
      </c>
      <c r="Y55" s="8">
        <v>4.831335521021457E-2</v>
      </c>
      <c r="Z55" s="8">
        <v>-0.10001589699814784</v>
      </c>
      <c r="AA55" s="8">
        <v>2.5771380469803817E-2</v>
      </c>
      <c r="AB55" s="8">
        <v>5.267610578035431E-3</v>
      </c>
      <c r="AC55" s="8">
        <v>-4.5091252697866013E-2</v>
      </c>
      <c r="AD55" s="8">
        <v>-2.3044727330453818E-2</v>
      </c>
      <c r="AE55" s="8">
        <v>5.1355884535806973E-2</v>
      </c>
      <c r="AF55" s="8">
        <v>-8.741838293057197E-2</v>
      </c>
      <c r="AG55" s="8">
        <v>4.0304135142321673E-3</v>
      </c>
      <c r="AH55" s="8">
        <v>3.5610419585567321E-2</v>
      </c>
      <c r="AI55" s="8">
        <v>4.5945040369324563E-3</v>
      </c>
      <c r="AJ55" s="8">
        <v>-1.3346001716140088E-2</v>
      </c>
      <c r="AK55" s="8">
        <v>5.7022115487268932E-2</v>
      </c>
      <c r="AL55" s="8">
        <v>1.9117197049446366E-3</v>
      </c>
      <c r="AM55" s="8">
        <v>2.9283860198588196E-2</v>
      </c>
      <c r="AN55" s="8">
        <v>-4.4929171597705098E-2</v>
      </c>
      <c r="AO55" s="8">
        <v>7.7132409607921781E-3</v>
      </c>
      <c r="AP55" s="8">
        <v>4.3704917475360594E-2</v>
      </c>
      <c r="AQ55" s="8">
        <v>-5.2464337224780389E-2</v>
      </c>
      <c r="AR55" s="8">
        <v>1.9119485046094842E-2</v>
      </c>
      <c r="AS55" s="8">
        <v>-1.4295693751134375E-2</v>
      </c>
      <c r="AT55" s="8">
        <v>6.9256472059788798E-3</v>
      </c>
      <c r="AU55" s="8">
        <v>-1.2403808439009345E-2</v>
      </c>
      <c r="AV55" s="8">
        <v>1.552836268705815E-2</v>
      </c>
      <c r="AW55" s="8">
        <v>-5.5503782314299532E-3</v>
      </c>
      <c r="AX55" s="8">
        <v>-4.191661232951116E-3</v>
      </c>
      <c r="AY55" s="8">
        <v>2.5181293261652027E-2</v>
      </c>
      <c r="AZ55" s="8">
        <v>-2.6064604650789469E-2</v>
      </c>
      <c r="BA55" s="8">
        <v>-3.8556680146712041E-2</v>
      </c>
      <c r="BB55" s="8">
        <v>-1.3050278756685407E-2</v>
      </c>
      <c r="BC55" s="8">
        <v>3.7316634655329417E-2</v>
      </c>
      <c r="BD55" s="8">
        <v>6.9142133112106208E-2</v>
      </c>
      <c r="BE55" s="8">
        <v>-6.1535957374796446E-3</v>
      </c>
      <c r="BF55" s="8">
        <v>5.2093139188299831E-2</v>
      </c>
      <c r="BG55" s="8">
        <v>6.657477373630255E-2</v>
      </c>
      <c r="BH55" s="8">
        <v>4.5893656119957327E-2</v>
      </c>
      <c r="BI55" s="8">
        <v>9.0916914804688997E-3</v>
      </c>
      <c r="BJ55" s="8">
        <v>2.0927844570885812E-2</v>
      </c>
      <c r="BK55" s="8">
        <v>6.1398826914150217E-2</v>
      </c>
      <c r="BL55" s="8">
        <v>3.4778573763148357E-2</v>
      </c>
      <c r="BM55" s="8">
        <v>3.3438554314897895E-2</v>
      </c>
      <c r="BN55" s="8">
        <v>6.825269318550542E-2</v>
      </c>
      <c r="BO55" s="8">
        <v>-2.5566460120318046E-2</v>
      </c>
      <c r="BP55" s="8">
        <v>1.2734720800622601E-2</v>
      </c>
      <c r="BQ55" s="8">
        <v>7.7106551384453215E-3</v>
      </c>
      <c r="BR55" s="8">
        <v>2.0331235698089312E-2</v>
      </c>
      <c r="BS55" s="8">
        <v>3.7206654540551165E-2</v>
      </c>
      <c r="BT55" s="8">
        <v>-9.6871338721961076E-3</v>
      </c>
      <c r="BU55" s="8">
        <v>4.9210856572339812E-3</v>
      </c>
      <c r="BV55" s="8">
        <v>1.9325583423082437E-2</v>
      </c>
      <c r="BW55" s="8">
        <v>-1.1760731286422577E-2</v>
      </c>
      <c r="BX55" s="8">
        <v>-1.878123189047487E-2</v>
      </c>
      <c r="BY55" s="8">
        <v>5.533140900583855E-2</v>
      </c>
      <c r="BZ55" s="8">
        <v>8.1605880098553629E-3</v>
      </c>
      <c r="CA55" s="8">
        <v>7.3148811826951099E-2</v>
      </c>
      <c r="CB55" s="8">
        <v>2.5517925056894875E-5</v>
      </c>
      <c r="CC55" s="8">
        <v>-7.819647385542805E-3</v>
      </c>
      <c r="CD55" s="8">
        <v>6.807705281992954E-2</v>
      </c>
      <c r="CE55" s="8">
        <v>8.8190124791528046E-2</v>
      </c>
      <c r="CF55" s="8">
        <v>5.2239394594206512E-2</v>
      </c>
      <c r="CG55" s="8">
        <v>-2.5862890393465732E-2</v>
      </c>
      <c r="CH55" s="8">
        <v>7.1786446569206575E-2</v>
      </c>
      <c r="CI55" s="8">
        <v>-4.250123591957633E-2</v>
      </c>
      <c r="CJ55" s="8">
        <v>-5.3875829971099243E-2</v>
      </c>
      <c r="CK55" s="8">
        <v>4.1301838956487369E-2</v>
      </c>
      <c r="CL55" s="8">
        <v>-9.817380403908893E-3</v>
      </c>
      <c r="CM55" s="8">
        <v>-1.0930629994725716E-2</v>
      </c>
      <c r="CN55" s="8">
        <v>4.9256280543526765E-2</v>
      </c>
      <c r="CO55" s="8">
        <v>-2.6218859452210863E-2</v>
      </c>
      <c r="CP55" s="8">
        <v>2.9382720114946859E-2</v>
      </c>
      <c r="CQ55" s="8">
        <v>3.224236902636346E-3</v>
      </c>
      <c r="CR55" s="8">
        <v>2.1692288922758929E-2</v>
      </c>
      <c r="CS55" s="8">
        <v>-3.8201597762828332E-2</v>
      </c>
      <c r="CT55" s="8">
        <v>-1.0913047023247635E-2</v>
      </c>
      <c r="CU55" s="8">
        <v>2.4190425986589659E-2</v>
      </c>
      <c r="CV55" s="8">
        <v>-4.3492769891959382E-2</v>
      </c>
      <c r="CW55" s="8">
        <v>-4.2332319302967658E-2</v>
      </c>
      <c r="CX55" s="8">
        <v>-6.7663116733627793E-3</v>
      </c>
      <c r="CY55" s="8">
        <v>6.1556621545438728E-2</v>
      </c>
      <c r="CZ55" s="8">
        <v>0.1076203285866133</v>
      </c>
      <c r="DA55" s="8">
        <v>4.4933530899455676E-2</v>
      </c>
      <c r="DB55" s="8">
        <v>-2.359014277019289E-2</v>
      </c>
      <c r="DC55" s="8">
        <v>-1.9988897951790596E-2</v>
      </c>
      <c r="DD55" s="8">
        <v>-1.6828615599552899E-2</v>
      </c>
      <c r="DE55" s="8">
        <v>4.0042609715907007E-2</v>
      </c>
      <c r="DF55" s="8">
        <v>1.8343149095270461E-2</v>
      </c>
      <c r="DG55" s="8">
        <v>-1.1344295667119697E-2</v>
      </c>
      <c r="DH55" s="8">
        <v>-4.15371821074072E-2</v>
      </c>
      <c r="DI55" s="8">
        <v>3.4903230752368564E-2</v>
      </c>
      <c r="DJ55" s="8">
        <v>-3.0692385058685656E-2</v>
      </c>
      <c r="DK55" s="8">
        <v>2.7566707744140106E-2</v>
      </c>
      <c r="DL55" s="8">
        <v>-8.3521042681722446E-2</v>
      </c>
      <c r="DM55" s="8">
        <v>1.8788416651527973E-2</v>
      </c>
      <c r="DN55" s="8">
        <v>-5.3180575666771424E-2</v>
      </c>
      <c r="DO55" s="8">
        <v>-3.5232151544120405E-2</v>
      </c>
      <c r="DP55" s="8">
        <v>-2.5336622543494058E-2</v>
      </c>
      <c r="DQ55" s="8">
        <v>9.1441263217684754E-3</v>
      </c>
      <c r="DR55" s="8">
        <v>-2.5905904617819275E-2</v>
      </c>
      <c r="DS55" s="8">
        <v>9.0638069286857692E-2</v>
      </c>
      <c r="DT55" s="8">
        <v>6.7446204344553951E-2</v>
      </c>
      <c r="DU55" s="8">
        <v>-4.5574057167543924E-2</v>
      </c>
      <c r="DV55" s="8">
        <v>3.3216423962135977E-2</v>
      </c>
      <c r="DW55" s="8">
        <v>-9.2612455632819501E-3</v>
      </c>
      <c r="DX55" s="8">
        <v>1.9276754172912247E-2</v>
      </c>
      <c r="DY55" s="8">
        <v>4.0360520663122568E-2</v>
      </c>
      <c r="DZ55" s="8">
        <v>-7.7788234810758361E-3</v>
      </c>
      <c r="EA55" s="8">
        <v>-3.7804618123030431E-2</v>
      </c>
      <c r="EB55" s="8">
        <v>3.2357882897108503E-2</v>
      </c>
      <c r="EC55" s="8">
        <v>2.8353653805735513E-2</v>
      </c>
      <c r="ED55" s="8">
        <v>2.3939130241932227E-2</v>
      </c>
      <c r="EE55" s="8">
        <v>-4.1683439196135763E-2</v>
      </c>
      <c r="EF55" s="8">
        <v>-4.5486114907204778E-2</v>
      </c>
      <c r="EG55" s="8">
        <v>4.2528968530285205E-2</v>
      </c>
      <c r="EH55" s="8">
        <v>1.3076549199636134E-2</v>
      </c>
      <c r="EI55" s="8">
        <v>-8.2716310320117115E-2</v>
      </c>
      <c r="EJ55" s="8">
        <v>2.1284533307778353E-2</v>
      </c>
      <c r="EK55" s="8">
        <v>1.3743605886399668E-2</v>
      </c>
      <c r="EL55" s="8">
        <v>-2.3652588879741421E-2</v>
      </c>
      <c r="EM55" s="8">
        <v>-6.3066234841613333E-3</v>
      </c>
      <c r="EN55" s="8">
        <v>-1.0030309949091154E-3</v>
      </c>
      <c r="EO55" s="8">
        <v>1.0882927587780367E-2</v>
      </c>
      <c r="EP55" s="8">
        <v>-5.635610613205011E-2</v>
      </c>
      <c r="EQ55" s="8">
        <v>3.9166594802645283E-2</v>
      </c>
      <c r="ER55" s="8">
        <v>6.4780173252187989E-3</v>
      </c>
      <c r="ES55" s="8">
        <v>1.9033861718927181E-2</v>
      </c>
      <c r="ET55" s="8">
        <v>-1.5018657203997698E-2</v>
      </c>
      <c r="EU55" s="8">
        <v>5.4490564550144782E-3</v>
      </c>
      <c r="EV55" s="8">
        <v>-2.3801076002925026E-3</v>
      </c>
      <c r="EW55" s="8">
        <v>6.777466078435529E-2</v>
      </c>
      <c r="EX55" s="8">
        <v>1.0878942017014059E-2</v>
      </c>
      <c r="EY55" s="8">
        <v>2.8905052275075671E-2</v>
      </c>
      <c r="EZ55" s="8">
        <v>3.8041793148616332E-2</v>
      </c>
      <c r="FA55" s="8">
        <v>2.5782719416017175E-2</v>
      </c>
      <c r="FB55" s="8">
        <v>1.3047886093832672E-3</v>
      </c>
      <c r="FC55" s="8">
        <v>-5.4596840625650511E-2</v>
      </c>
      <c r="FD55" s="8">
        <v>-4.5503210134438365E-2</v>
      </c>
      <c r="FE55" s="8">
        <v>-6.0481599149626142E-2</v>
      </c>
      <c r="FF55" s="8">
        <v>4.5617997255072762E-2</v>
      </c>
      <c r="FG55" s="8">
        <v>-4.0525222374128644E-2</v>
      </c>
      <c r="FH55" s="8">
        <v>5.2332574365473616E-2</v>
      </c>
      <c r="FI55" s="8">
        <v>8.26399214922236E-2</v>
      </c>
      <c r="FJ55" s="8">
        <v>4.2654883459626314E-3</v>
      </c>
      <c r="FK55" s="8">
        <v>2.3023302054831385E-2</v>
      </c>
      <c r="FL55" s="8">
        <v>-7.0401421838081069E-3</v>
      </c>
      <c r="FM55" s="8">
        <v>2.9758601627283165E-2</v>
      </c>
      <c r="FN55" s="8">
        <v>-6.3303365252411703E-2</v>
      </c>
      <c r="FO55" s="8">
        <v>-8.2166797089696098E-3</v>
      </c>
      <c r="FP55" s="8">
        <v>3.0627157459354293E-2</v>
      </c>
      <c r="FQ55" s="8">
        <v>7.5749498115775804E-3</v>
      </c>
      <c r="FR55" s="8">
        <v>6.6734390595140081E-3</v>
      </c>
      <c r="FS55" s="8">
        <v>-6.3847906746713479E-2</v>
      </c>
      <c r="FT55" s="8">
        <v>-1.1761900655527624E-2</v>
      </c>
      <c r="FU55" s="8">
        <v>-2.058392363949324E-2</v>
      </c>
      <c r="FV55" s="8">
        <v>1.3702193182305866E-2</v>
      </c>
      <c r="FW55" s="8">
        <v>7.0946254951100129E-2</v>
      </c>
      <c r="FX55" s="8">
        <v>-1.1060910652495037E-3</v>
      </c>
      <c r="FY55" s="8">
        <v>-3.116306969684085E-2</v>
      </c>
      <c r="FZ55" s="8">
        <v>2.4016133136525231E-2</v>
      </c>
      <c r="GA55" s="8">
        <v>-9.5905450625249411E-2</v>
      </c>
      <c r="GB55" s="8">
        <v>1.0411878659639329E-2</v>
      </c>
      <c r="GC55" s="8">
        <v>-2.8571221118294576E-2</v>
      </c>
      <c r="GD55" s="8">
        <v>-3.4189324274543742E-2</v>
      </c>
      <c r="GE55" s="8">
        <v>-1.2085260401148989E-2</v>
      </c>
      <c r="GF55" s="8">
        <v>3.9618690367756004E-2</v>
      </c>
      <c r="GG55" s="8">
        <v>5.0321846287058936E-2</v>
      </c>
      <c r="GH55" s="8">
        <v>-1.1372006117097211E-2</v>
      </c>
      <c r="GI55" s="8">
        <v>-8.6536639062302911E-3</v>
      </c>
      <c r="GJ55" s="8">
        <v>-2.2477002208371788E-2</v>
      </c>
      <c r="GK55" s="8">
        <v>1.5607963260094226E-2</v>
      </c>
      <c r="GL55" s="8">
        <v>-3.2353070477438794E-2</v>
      </c>
      <c r="GM55" s="8">
        <v>6.414730494781018E-2</v>
      </c>
      <c r="GN55" s="8">
        <v>5.7308813157593508E-2</v>
      </c>
      <c r="GO55" s="8">
        <v>4.9299472621645579E-2</v>
      </c>
      <c r="GP55" s="8">
        <v>-3.3713806890921794E-2</v>
      </c>
      <c r="GQ55" s="8">
        <v>9.0112360967287697E-3</v>
      </c>
      <c r="GR55" s="8">
        <v>-3.0230454304319754E-2</v>
      </c>
      <c r="GS55" s="8">
        <v>4.6121075812247114E-3</v>
      </c>
      <c r="GT55" s="8">
        <v>-4.3469607138569955E-2</v>
      </c>
      <c r="GU55" s="8">
        <v>-8.1810638814073799E-3</v>
      </c>
      <c r="GV55" s="8">
        <v>-1.3335654227452809E-2</v>
      </c>
      <c r="GW55" s="8">
        <v>-4.5736001749186461E-3</v>
      </c>
      <c r="GX55" s="8">
        <v>8.6155603529680103E-3</v>
      </c>
      <c r="GY55" s="8">
        <v>3.0591383334647393E-2</v>
      </c>
      <c r="GZ55" s="8">
        <v>-3.2247048972300685E-2</v>
      </c>
      <c r="HA55" s="8">
        <v>-4.4389689876489502E-2</v>
      </c>
      <c r="HB55" s="8">
        <v>4.6138068369298013E-3</v>
      </c>
      <c r="HC55" s="8">
        <v>-5.6788281733148871E-3</v>
      </c>
      <c r="HD55" s="8">
        <v>1.9701577713763019E-2</v>
      </c>
      <c r="HE55" s="8">
        <v>2.3848877458148843E-2</v>
      </c>
      <c r="HF55" s="8">
        <v>2.2074976351821707E-2</v>
      </c>
      <c r="HG55" s="8">
        <v>9.2115755365862861E-2</v>
      </c>
      <c r="HH55" s="8">
        <v>3.4275350003658278E-2</v>
      </c>
      <c r="HI55" s="8">
        <v>-3.6565645579648753E-2</v>
      </c>
      <c r="HJ55" s="8">
        <v>-2.4117710658804636E-2</v>
      </c>
      <c r="HK55" s="8">
        <v>3.0550501397687446E-2</v>
      </c>
      <c r="HL55" s="8">
        <v>-1.1451668779412838E-2</v>
      </c>
      <c r="HM55" s="8">
        <v>3.0168167631016485E-2</v>
      </c>
      <c r="HN55" s="8">
        <v>-2.7270145801423062E-2</v>
      </c>
      <c r="HO55" s="8">
        <v>3.1483646921356079E-2</v>
      </c>
      <c r="HP55" s="8">
        <v>-4.1633436596244078E-2</v>
      </c>
      <c r="HQ55" s="8">
        <v>4.1921409950074429E-2</v>
      </c>
      <c r="HR55" s="8">
        <v>3.0690648197363002E-2</v>
      </c>
      <c r="HS55" s="8">
        <v>5.0069164123959453E-2</v>
      </c>
      <c r="HT55" s="8">
        <v>-2.6728912527101967E-4</v>
      </c>
      <c r="HU55" s="8">
        <v>2.0395250671441711E-2</v>
      </c>
      <c r="HV55" s="8">
        <v>-2.1301651619769713E-2</v>
      </c>
      <c r="HW55" s="8">
        <v>7.9193757415801147E-2</v>
      </c>
      <c r="HX55" s="8">
        <v>7.5271363554651638E-2</v>
      </c>
      <c r="HY55" s="8">
        <v>1.2405869133516156E-2</v>
      </c>
      <c r="HZ55" s="8">
        <v>-2.2104549487533376E-2</v>
      </c>
      <c r="IA55" s="8">
        <v>1.7719117671719631E-2</v>
      </c>
      <c r="IB55" s="8">
        <v>4.7929166399682088E-2</v>
      </c>
      <c r="IC55" s="8">
        <v>-1.3553665115939473E-2</v>
      </c>
      <c r="ID55" s="8">
        <v>2.2077429934017068E-3</v>
      </c>
      <c r="IE55" s="8">
        <v>-2.6751789348628208E-2</v>
      </c>
      <c r="IF55" s="8">
        <v>-2.5435748274268366E-2</v>
      </c>
      <c r="IG55" s="8">
        <v>4.9804717049071745E-2</v>
      </c>
      <c r="IH55" s="8">
        <v>-1.5098666955007944E-2</v>
      </c>
      <c r="II55" s="8">
        <v>5.5795270474943703E-3</v>
      </c>
      <c r="IJ55" s="8">
        <v>-4.0407507559651168E-2</v>
      </c>
      <c r="IK55" s="8">
        <v>4.3400374966784283E-2</v>
      </c>
      <c r="IL55" s="8">
        <v>-5.0797406752871643E-2</v>
      </c>
      <c r="IM55" s="8">
        <v>7.9621061428383211E-3</v>
      </c>
      <c r="IN55" s="8">
        <v>3.6633780063632437E-2</v>
      </c>
      <c r="IO55" s="8">
        <v>3.6390417227775196E-2</v>
      </c>
      <c r="IP55" s="8">
        <v>-1.8468060155118482E-2</v>
      </c>
      <c r="IQ55" s="8">
        <v>-9.5016302344578252E-3</v>
      </c>
      <c r="IR55" s="8">
        <v>3.8347897582769463E-3</v>
      </c>
      <c r="IS55" s="8">
        <v>-4.1891148205861262E-2</v>
      </c>
      <c r="IT55" s="8">
        <v>-2.1319988780562793E-2</v>
      </c>
    </row>
    <row r="56" spans="1:254" s="11" customFormat="1" x14ac:dyDescent="0.2">
      <c r="A56" s="10"/>
      <c r="B56" s="12">
        <v>0.75</v>
      </c>
      <c r="C56" s="2">
        <f t="shared" si="43"/>
        <v>1.9411562237531436E-2</v>
      </c>
      <c r="D56" s="3">
        <f t="shared" si="44"/>
        <v>6.1652473341235303E-2</v>
      </c>
      <c r="E56" s="8">
        <v>-9.6692057783141494E-3</v>
      </c>
      <c r="F56" s="8">
        <v>-4.1433817896859848E-3</v>
      </c>
      <c r="G56" s="8">
        <v>-2.3663290274811843E-2</v>
      </c>
      <c r="H56" s="8">
        <v>2.2213601382082782E-2</v>
      </c>
      <c r="I56" s="8">
        <v>-9.29519665719164E-3</v>
      </c>
      <c r="J56" s="8">
        <v>-3.0804009647500463E-2</v>
      </c>
      <c r="K56" s="8">
        <v>-3.125739255881349E-2</v>
      </c>
      <c r="L56" s="8">
        <v>3.3874209984695647E-2</v>
      </c>
      <c r="M56" s="8">
        <v>-5.9447556040772898E-2</v>
      </c>
      <c r="N56" s="8">
        <v>2.7801933228199571E-2</v>
      </c>
      <c r="O56" s="8">
        <v>5.0168278879832995E-3</v>
      </c>
      <c r="P56" s="8">
        <v>-1.4222514511962714E-2</v>
      </c>
      <c r="Q56" s="8">
        <v>4.5509158124997451E-2</v>
      </c>
      <c r="R56" s="8">
        <v>-3.2414858126243673E-2</v>
      </c>
      <c r="S56" s="8">
        <v>-1.1441348122132489E-2</v>
      </c>
      <c r="T56" s="8">
        <v>-3.1737588504526515E-2</v>
      </c>
      <c r="U56" s="8">
        <v>-6.2642763413838731E-2</v>
      </c>
      <c r="V56" s="8">
        <v>9.6314757312312982E-3</v>
      </c>
      <c r="W56" s="8">
        <v>6.1845120959343025E-2</v>
      </c>
      <c r="X56" s="8">
        <v>-6.2761119761067463E-2</v>
      </c>
      <c r="Y56" s="8">
        <v>2.6450306484015307E-2</v>
      </c>
      <c r="Z56" s="8">
        <v>-9.3123119065929183E-2</v>
      </c>
      <c r="AA56" s="8">
        <v>2.4419272053075536E-2</v>
      </c>
      <c r="AB56" s="8">
        <v>-1.3439495608188801E-2</v>
      </c>
      <c r="AC56" s="8">
        <v>-7.9403559167843307E-2</v>
      </c>
      <c r="AD56" s="8">
        <v>-4.1865122893454343E-2</v>
      </c>
      <c r="AE56" s="8">
        <v>5.1943542849628155E-2</v>
      </c>
      <c r="AF56" s="8">
        <v>-0.11167991280013079</v>
      </c>
      <c r="AG56" s="8">
        <v>-2.0959869257113573E-2</v>
      </c>
      <c r="AH56" s="8">
        <v>4.1403686356570324E-3</v>
      </c>
      <c r="AI56" s="8">
        <v>2.4559498817151415E-2</v>
      </c>
      <c r="AJ56" s="8">
        <v>-1.4991849785061795E-2</v>
      </c>
      <c r="AK56" s="8">
        <v>5.1045421811936276E-2</v>
      </c>
      <c r="AL56" s="8">
        <v>5.8000425978010917E-2</v>
      </c>
      <c r="AM56" s="8">
        <v>5.0685161281005975E-2</v>
      </c>
      <c r="AN56" s="8">
        <v>-4.6819187433057463E-2</v>
      </c>
      <c r="AO56" s="8">
        <v>7.7755154975751584E-3</v>
      </c>
      <c r="AP56" s="8">
        <v>6.3037323429844694E-2</v>
      </c>
      <c r="AQ56" s="8">
        <v>-7.4029357992391409E-2</v>
      </c>
      <c r="AR56" s="8">
        <v>9.057269076856056E-3</v>
      </c>
      <c r="AS56" s="8">
        <v>-1.1277070842957149E-2</v>
      </c>
      <c r="AT56" s="8">
        <v>-3.8461384475261262E-2</v>
      </c>
      <c r="AU56" s="8">
        <v>-4.2953262076036558E-2</v>
      </c>
      <c r="AV56" s="8">
        <v>1.9801495290153515E-2</v>
      </c>
      <c r="AW56" s="8">
        <v>1.4767225039322929E-2</v>
      </c>
      <c r="AX56" s="8">
        <v>1.4158429374347969E-3</v>
      </c>
      <c r="AY56" s="8">
        <v>1.5571440651380164E-2</v>
      </c>
      <c r="AZ56" s="8">
        <v>-4.3630222694159837E-2</v>
      </c>
      <c r="BA56" s="8">
        <v>-3.3367273481283044E-2</v>
      </c>
      <c r="BB56" s="8">
        <v>8.0917565973567251E-3</v>
      </c>
      <c r="BC56" s="8">
        <v>5.3733116675230896E-2</v>
      </c>
      <c r="BD56" s="8">
        <v>9.1497590678458418E-2</v>
      </c>
      <c r="BE56" s="8">
        <v>-3.3738441109793516E-2</v>
      </c>
      <c r="BF56" s="8">
        <v>4.6601324514265186E-2</v>
      </c>
      <c r="BG56" s="8">
        <v>0.12419058296335694</v>
      </c>
      <c r="BH56" s="8">
        <v>-8.5364379296449799E-3</v>
      </c>
      <c r="BI56" s="8">
        <v>5.1296429368909435E-3</v>
      </c>
      <c r="BJ56" s="8">
        <v>3.3695481920680503E-2</v>
      </c>
      <c r="BK56" s="8">
        <v>6.1652473341235303E-2</v>
      </c>
      <c r="BL56" s="8">
        <v>5.1972123131217796E-2</v>
      </c>
      <c r="BM56" s="8">
        <v>4.3365778530252752E-2</v>
      </c>
      <c r="BN56" s="8">
        <v>0.10713824808357703</v>
      </c>
      <c r="BO56" s="8">
        <v>-2.8746547043537074E-2</v>
      </c>
      <c r="BP56" s="8">
        <v>3.9963757774628295E-2</v>
      </c>
      <c r="BQ56" s="8">
        <v>1.2392132767955366E-2</v>
      </c>
      <c r="BR56" s="8">
        <v>1.344160788240778E-2</v>
      </c>
      <c r="BS56" s="8">
        <v>2.7330325572742342E-2</v>
      </c>
      <c r="BT56" s="8">
        <v>-2.0395469436083336E-2</v>
      </c>
      <c r="BU56" s="8">
        <v>-9.4261360964307261E-3</v>
      </c>
      <c r="BV56" s="8">
        <v>5.1784759506085909E-2</v>
      </c>
      <c r="BW56" s="8">
        <v>-8.5572674907055668E-3</v>
      </c>
      <c r="BX56" s="8">
        <v>-1.2055685800545057E-2</v>
      </c>
      <c r="BY56" s="8">
        <v>3.1249386453566286E-2</v>
      </c>
      <c r="BZ56" s="8">
        <v>9.0420295973936415E-3</v>
      </c>
      <c r="CA56" s="8">
        <v>6.0950754969050336E-2</v>
      </c>
      <c r="CB56" s="8">
        <v>-4.2814649451093922E-3</v>
      </c>
      <c r="CC56" s="8">
        <v>-1.2805514180706801E-2</v>
      </c>
      <c r="CD56" s="8">
        <v>0.10194646802356244</v>
      </c>
      <c r="CE56" s="8">
        <v>7.2708767037923561E-2</v>
      </c>
      <c r="CF56" s="8">
        <v>2.8566017549747358E-2</v>
      </c>
      <c r="CG56" s="8">
        <v>-8.5071279006579958E-3</v>
      </c>
      <c r="CH56" s="8">
        <v>7.1625347135657713E-2</v>
      </c>
      <c r="CI56" s="8">
        <v>-2.7690970321462505E-2</v>
      </c>
      <c r="CJ56" s="8">
        <v>-4.2011477876369829E-2</v>
      </c>
      <c r="CK56" s="8">
        <v>7.1798556224054955E-2</v>
      </c>
      <c r="CL56" s="8">
        <v>-3.4373013852028345E-2</v>
      </c>
      <c r="CM56" s="8">
        <v>-4.0584356927964083E-2</v>
      </c>
      <c r="CN56" s="8">
        <v>1.0524513838395144E-2</v>
      </c>
      <c r="CO56" s="8">
        <v>-1.5942203411464295E-2</v>
      </c>
      <c r="CP56" s="8">
        <v>1.9069680696668867E-2</v>
      </c>
      <c r="CQ56" s="8">
        <v>9.3357699416244389E-3</v>
      </c>
      <c r="CR56" s="8">
        <v>-5.5490790980024518E-3</v>
      </c>
      <c r="CS56" s="8">
        <v>-5.6564029095695523E-2</v>
      </c>
      <c r="CT56" s="8">
        <v>-3.5987779326318636E-2</v>
      </c>
      <c r="CU56" s="8">
        <v>1.6374695999575084E-2</v>
      </c>
      <c r="CV56" s="8">
        <v>-8.5093081536338655E-2</v>
      </c>
      <c r="CW56" s="8">
        <v>-4.1207545304351223E-2</v>
      </c>
      <c r="CX56" s="8">
        <v>-1.0551305592722882E-2</v>
      </c>
      <c r="CY56" s="8">
        <v>2.4735126197243495E-2</v>
      </c>
      <c r="CZ56" s="8">
        <v>0.11331212251775452</v>
      </c>
      <c r="DA56" s="8">
        <v>2.3815063382878698E-2</v>
      </c>
      <c r="DB56" s="8">
        <v>-2.4354367869381721E-2</v>
      </c>
      <c r="DC56" s="8">
        <v>-1.8882691335454171E-2</v>
      </c>
      <c r="DD56" s="8">
        <v>1.6586670245807178E-2</v>
      </c>
      <c r="DE56" s="8">
        <v>7.4041394537326499E-2</v>
      </c>
      <c r="DF56" s="8">
        <v>1.5666188790416369E-2</v>
      </c>
      <c r="DG56" s="8">
        <v>-6.8891009090687017E-2</v>
      </c>
      <c r="DH56" s="8">
        <v>-2.6479841588059883E-2</v>
      </c>
      <c r="DI56" s="8">
        <v>2.1552761724923597E-2</v>
      </c>
      <c r="DJ56" s="8">
        <v>-3.7322406080551429E-2</v>
      </c>
      <c r="DK56" s="8">
        <v>3.1477428105457339E-2</v>
      </c>
      <c r="DL56" s="8">
        <v>-0.11476413370533478</v>
      </c>
      <c r="DM56" s="8">
        <v>-5.4486309603177796E-3</v>
      </c>
      <c r="DN56" s="8">
        <v>-0.11137233694687931</v>
      </c>
      <c r="DO56" s="8">
        <v>-1.1496319388734078E-2</v>
      </c>
      <c r="DP56" s="8">
        <v>-1.2120871414456669E-2</v>
      </c>
      <c r="DQ56" s="8">
        <v>-1.4202012918978379E-2</v>
      </c>
      <c r="DR56" s="8">
        <v>-4.0004101750765519E-2</v>
      </c>
      <c r="DS56" s="8">
        <v>3.5214599359834287E-2</v>
      </c>
      <c r="DT56" s="8">
        <v>8.3915831362024185E-2</v>
      </c>
      <c r="DU56" s="8">
        <v>-4.3446205735745203E-2</v>
      </c>
      <c r="DV56" s="8">
        <v>7.0031647794785545E-2</v>
      </c>
      <c r="DW56" s="8">
        <v>-4.6823069573376674E-2</v>
      </c>
      <c r="DX56" s="8">
        <v>5.7869532540853474E-3</v>
      </c>
      <c r="DY56" s="8">
        <v>4.3611943486833615E-2</v>
      </c>
      <c r="DZ56" s="8">
        <v>-1.7908685021672255E-2</v>
      </c>
      <c r="EA56" s="8">
        <v>-2.6721009912131055E-2</v>
      </c>
      <c r="EB56" s="8">
        <v>4.2511184997707174E-2</v>
      </c>
      <c r="EC56" s="8">
        <v>4.1784272271727707E-2</v>
      </c>
      <c r="ED56" s="8">
        <v>2.65909814421047E-2</v>
      </c>
      <c r="EE56" s="8">
        <v>-3.7886860537068801E-2</v>
      </c>
      <c r="EF56" s="8">
        <v>-1.9410852556172808E-2</v>
      </c>
      <c r="EG56" s="8">
        <v>4.0331784312223951E-2</v>
      </c>
      <c r="EH56" s="8">
        <v>4.9296002954160034E-3</v>
      </c>
      <c r="EI56" s="8">
        <v>-8.7057018320099266E-2</v>
      </c>
      <c r="EJ56" s="8">
        <v>2.6764232162964974E-2</v>
      </c>
      <c r="EK56" s="8">
        <v>-5.252450154017213E-2</v>
      </c>
      <c r="EL56" s="8">
        <v>4.4810761762661411E-3</v>
      </c>
      <c r="EM56" s="8">
        <v>-2.8148990443997046E-2</v>
      </c>
      <c r="EN56" s="8">
        <v>8.521940120159277E-3</v>
      </c>
      <c r="EO56" s="8">
        <v>1.3823705165010691E-2</v>
      </c>
      <c r="EP56" s="8">
        <v>-2.0982459954385524E-2</v>
      </c>
      <c r="EQ56" s="8">
        <v>3.0500574278889081E-2</v>
      </c>
      <c r="ER56" s="8">
        <v>-1.2490711008240618E-3</v>
      </c>
      <c r="ES56" s="8">
        <v>1.3364452406734451E-2</v>
      </c>
      <c r="ET56" s="8">
        <v>-2.2640719114914221E-2</v>
      </c>
      <c r="EU56" s="8">
        <v>4.9737739447118789E-3</v>
      </c>
      <c r="EV56" s="8">
        <v>-5.5274101172397283E-3</v>
      </c>
      <c r="EW56" s="8">
        <v>7.4755733396422719E-2</v>
      </c>
      <c r="EX56" s="8">
        <v>4.6348490437308321E-2</v>
      </c>
      <c r="EY56" s="8">
        <v>1.9737236864868557E-2</v>
      </c>
      <c r="EZ56" s="8">
        <v>1.0947699710503633E-2</v>
      </c>
      <c r="FA56" s="8">
        <v>1.3865106749079481E-2</v>
      </c>
      <c r="FB56" s="8">
        <v>2.5546911728873134E-3</v>
      </c>
      <c r="FC56" s="8">
        <v>-3.689075674511294E-2</v>
      </c>
      <c r="FD56" s="8">
        <v>-4.0864486372055309E-2</v>
      </c>
      <c r="FE56" s="8">
        <v>-3.5730066436165053E-2</v>
      </c>
      <c r="FF56" s="8">
        <v>8.1933806490175398E-2</v>
      </c>
      <c r="FG56" s="8">
        <v>-3.8610669831587285E-2</v>
      </c>
      <c r="FH56" s="8">
        <v>3.7344784602410308E-2</v>
      </c>
      <c r="FI56" s="8">
        <v>0.11012392577265234</v>
      </c>
      <c r="FJ56" s="8">
        <v>2.3918460866402702E-2</v>
      </c>
      <c r="FK56" s="8">
        <v>2.4137188397990506E-2</v>
      </c>
      <c r="FL56" s="8">
        <v>2.797801351686291E-2</v>
      </c>
      <c r="FM56" s="8">
        <v>7.5341321336531764E-2</v>
      </c>
      <c r="FN56" s="8">
        <v>-6.636326672679993E-2</v>
      </c>
      <c r="FO56" s="8">
        <v>4.0971257009594364E-3</v>
      </c>
      <c r="FP56" s="8">
        <v>6.3916455944668105E-3</v>
      </c>
      <c r="FQ56" s="8">
        <v>4.508165140221676E-2</v>
      </c>
      <c r="FR56" s="8">
        <v>-2.8148112777858336E-2</v>
      </c>
      <c r="FS56" s="8">
        <v>-6.8500414157763478E-2</v>
      </c>
      <c r="FT56" s="8">
        <v>-3.3307363481123842E-2</v>
      </c>
      <c r="FU56" s="8">
        <v>-3.0563117551527297E-2</v>
      </c>
      <c r="FV56" s="8">
        <v>2.0227577711725675E-2</v>
      </c>
      <c r="FW56" s="8">
        <v>6.7625202394639872E-2</v>
      </c>
      <c r="FX56" s="8">
        <v>6.0538850093949659E-4</v>
      </c>
      <c r="FY56" s="8">
        <v>-2.0714132390208584E-2</v>
      </c>
      <c r="FZ56" s="8">
        <v>4.1792191311067983E-2</v>
      </c>
      <c r="GA56" s="8">
        <v>-0.12469421479295767</v>
      </c>
      <c r="GB56" s="8">
        <v>9.2525258009640843E-3</v>
      </c>
      <c r="GC56" s="8">
        <v>-6.9940897080480846E-2</v>
      </c>
      <c r="GD56" s="8">
        <v>-1.8120727044094787E-2</v>
      </c>
      <c r="GE56" s="8">
        <v>-1.0780325329021734E-2</v>
      </c>
      <c r="GF56" s="8">
        <v>-2.1786976770351574E-2</v>
      </c>
      <c r="GG56" s="8">
        <v>3.3072101716057123E-2</v>
      </c>
      <c r="GH56" s="8">
        <v>-1.4084500792163335E-2</v>
      </c>
      <c r="GI56" s="8">
        <v>-1.2713579624488158E-2</v>
      </c>
      <c r="GJ56" s="8">
        <v>3.5738095598489561E-2</v>
      </c>
      <c r="GK56" s="8">
        <v>-1.7390815669246218E-2</v>
      </c>
      <c r="GL56" s="8">
        <v>2.5767164017895194E-2</v>
      </c>
      <c r="GM56" s="8">
        <v>1.4760001280315849E-2</v>
      </c>
      <c r="GN56" s="8">
        <v>0.10066851185376768</v>
      </c>
      <c r="GO56" s="8">
        <v>2.5462245229384117E-2</v>
      </c>
      <c r="GP56" s="8">
        <v>-6.4462491600640104E-2</v>
      </c>
      <c r="GQ56" s="8">
        <v>-4.7583426664306261E-2</v>
      </c>
      <c r="GR56" s="8">
        <v>2.619288667957631E-2</v>
      </c>
      <c r="GS56" s="8">
        <v>-1.1501776805762198E-2</v>
      </c>
      <c r="GT56" s="8">
        <v>-2.6494893777384065E-2</v>
      </c>
      <c r="GU56" s="8">
        <v>-4.5263233554539373E-2</v>
      </c>
      <c r="GV56" s="8">
        <v>-1.9059036891838299E-2</v>
      </c>
      <c r="GW56" s="8">
        <v>-1.0281634157372765E-2</v>
      </c>
      <c r="GX56" s="8">
        <v>3.1485264162328996E-2</v>
      </c>
      <c r="GY56" s="8">
        <v>2.1579491856027311E-2</v>
      </c>
      <c r="GZ56" s="8">
        <v>-2.9378051020444718E-2</v>
      </c>
      <c r="HA56" s="8">
        <v>-4.870734615378175E-2</v>
      </c>
      <c r="HB56" s="8">
        <v>-1.2342596688249663E-2</v>
      </c>
      <c r="HC56" s="8">
        <v>-2.0146999952286748E-2</v>
      </c>
      <c r="HD56" s="8">
        <v>4.0735678138957676E-2</v>
      </c>
      <c r="HE56" s="8">
        <v>-4.6273342286978825E-2</v>
      </c>
      <c r="HF56" s="8">
        <v>1.7201869889559573E-2</v>
      </c>
      <c r="HG56" s="8">
        <v>0.11848839277417611</v>
      </c>
      <c r="HH56" s="8">
        <v>7.6312132002102739E-2</v>
      </c>
      <c r="HI56" s="8">
        <v>-4.4964824013957294E-2</v>
      </c>
      <c r="HJ56" s="8">
        <v>-5.5130030555624931E-2</v>
      </c>
      <c r="HK56" s="8">
        <v>2.3906946904765913E-2</v>
      </c>
      <c r="HL56" s="8">
        <v>-3.2193946138642571E-2</v>
      </c>
      <c r="HM56" s="8">
        <v>1.1363561758327645E-2</v>
      </c>
      <c r="HN56" s="8">
        <v>2.1282546460337337E-2</v>
      </c>
      <c r="HO56" s="8">
        <v>5.596687557252078E-2</v>
      </c>
      <c r="HP56" s="8">
        <v>-4.4514802645050033E-2</v>
      </c>
      <c r="HQ56" s="8">
        <v>2.1623841568511992E-2</v>
      </c>
      <c r="HR56" s="8">
        <v>1.4202241633419321E-2</v>
      </c>
      <c r="HS56" s="8">
        <v>7.407706528695851E-2</v>
      </c>
      <c r="HT56" s="8">
        <v>3.0432013978516192E-2</v>
      </c>
      <c r="HU56" s="8">
        <v>2.145011060969465E-2</v>
      </c>
      <c r="HV56" s="8">
        <v>-2.1620810644481903E-2</v>
      </c>
      <c r="HW56" s="8">
        <v>0.11379072994730249</v>
      </c>
      <c r="HX56" s="8">
        <v>6.9376807914824812E-2</v>
      </c>
      <c r="HY56" s="8">
        <v>-6.1609937266218218E-3</v>
      </c>
      <c r="HZ56" s="8">
        <v>-3.1865116417516326E-2</v>
      </c>
      <c r="IA56" s="8">
        <v>5.9353951047325104E-2</v>
      </c>
      <c r="IB56" s="8">
        <v>4.8644230517307929E-2</v>
      </c>
      <c r="IC56" s="8">
        <v>-5.2958737168912584E-2</v>
      </c>
      <c r="ID56" s="8">
        <v>2.8772060696804047E-2</v>
      </c>
      <c r="IE56" s="8">
        <v>-4.7565357246549367E-2</v>
      </c>
      <c r="IF56" s="8">
        <v>-2.4438649358628273E-2</v>
      </c>
      <c r="IG56" s="8">
        <v>6.3198722023135034E-2</v>
      </c>
      <c r="IH56" s="8">
        <v>-4.0136017715437289E-2</v>
      </c>
      <c r="II56" s="8">
        <v>2.4474446468791822E-2</v>
      </c>
      <c r="IJ56" s="8">
        <v>-3.2521043284200635E-2</v>
      </c>
      <c r="IK56" s="8">
        <v>4.8560820571806884E-2</v>
      </c>
      <c r="IL56" s="8">
        <v>-5.4606773718288093E-2</v>
      </c>
      <c r="IM56" s="8">
        <v>-2.8960068231985103E-2</v>
      </c>
      <c r="IN56" s="8">
        <v>4.1032149439932941E-2</v>
      </c>
      <c r="IO56" s="8">
        <v>4.664717381541339E-2</v>
      </c>
      <c r="IP56" s="8">
        <v>-6.8619368536228076E-2</v>
      </c>
      <c r="IQ56" s="8">
        <v>-3.4517329964151577E-3</v>
      </c>
      <c r="IR56" s="8">
        <v>1.1502244290171326E-3</v>
      </c>
      <c r="IS56" s="8">
        <v>-3.2377503724299039E-2</v>
      </c>
      <c r="IT56" s="8">
        <v>-1.2335718378031268E-2</v>
      </c>
    </row>
    <row r="57" spans="1:254" s="11" customFormat="1" x14ac:dyDescent="0.2">
      <c r="A57" s="10"/>
      <c r="B57" s="12">
        <v>1</v>
      </c>
      <c r="C57" s="2">
        <f t="shared" si="43"/>
        <v>2.2547571873639986E-2</v>
      </c>
      <c r="D57" s="3">
        <f t="shared" si="44"/>
        <v>6.9905196351386978E-2</v>
      </c>
      <c r="E57" s="8">
        <v>-2.8370896040520066E-2</v>
      </c>
      <c r="F57" s="8">
        <v>-3.2178326636525756E-2</v>
      </c>
      <c r="G57" s="8">
        <v>1.7316318690547117E-2</v>
      </c>
      <c r="H57" s="8">
        <v>7.5637667578150491E-2</v>
      </c>
      <c r="I57" s="8">
        <v>-2.8465921006788686E-2</v>
      </c>
      <c r="J57" s="8">
        <v>-4.4922746725263696E-2</v>
      </c>
      <c r="K57" s="8">
        <v>-1.7768209574085203E-2</v>
      </c>
      <c r="L57" s="8">
        <v>8.36162603939683E-3</v>
      </c>
      <c r="M57" s="8">
        <v>-7.7028933271842903E-2</v>
      </c>
      <c r="N57" s="8">
        <v>7.1677477823656743E-3</v>
      </c>
      <c r="O57" s="8">
        <v>-3.6299011952279359E-3</v>
      </c>
      <c r="P57" s="8">
        <v>-2.4874431840229083E-2</v>
      </c>
      <c r="Q57" s="8">
        <v>0.11049107789920232</v>
      </c>
      <c r="R57" s="8">
        <v>-1.9504371920491148E-2</v>
      </c>
      <c r="S57" s="8">
        <v>-1.6687341696334845E-2</v>
      </c>
      <c r="T57" s="8">
        <v>-3.1162646769642754E-2</v>
      </c>
      <c r="U57" s="8">
        <v>-7.206514407939113E-2</v>
      </c>
      <c r="V57" s="8">
        <v>-1.0750806801375079E-2</v>
      </c>
      <c r="W57" s="8">
        <v>5.9702147496099311E-2</v>
      </c>
      <c r="X57" s="8">
        <v>-4.6180997344237751E-2</v>
      </c>
      <c r="Y57" s="8">
        <v>-1.1273907641304426E-2</v>
      </c>
      <c r="Z57" s="8">
        <v>-0.10524947441976878</v>
      </c>
      <c r="AA57" s="8">
        <v>4.4713317955168863E-2</v>
      </c>
      <c r="AB57" s="8">
        <v>1.9679721208054612E-4</v>
      </c>
      <c r="AC57" s="8">
        <v>-7.7980107651974773E-2</v>
      </c>
      <c r="AD57" s="8">
        <v>6.0141393104878871E-3</v>
      </c>
      <c r="AE57" s="8">
        <v>1.5579414378989576E-2</v>
      </c>
      <c r="AF57" s="8">
        <v>-0.10994179371443991</v>
      </c>
      <c r="AG57" s="8">
        <v>-5.3062707418640831E-2</v>
      </c>
      <c r="AH57" s="8">
        <v>-1.6945734786594835E-2</v>
      </c>
      <c r="AI57" s="8">
        <v>7.5401365112960361E-3</v>
      </c>
      <c r="AJ57" s="8">
        <v>-3.7336543948928713E-2</v>
      </c>
      <c r="AK57" s="8">
        <v>3.6648831417231464E-2</v>
      </c>
      <c r="AL57" s="8">
        <v>7.0513239533642247E-2</v>
      </c>
      <c r="AM57" s="8">
        <v>6.012684120741324E-2</v>
      </c>
      <c r="AN57" s="8">
        <v>-2.7694042044634215E-3</v>
      </c>
      <c r="AO57" s="8">
        <v>-5.7298529910035922E-3</v>
      </c>
      <c r="AP57" s="8">
        <v>3.1201239673964543E-2</v>
      </c>
      <c r="AQ57" s="8">
        <v>-6.2921679997444913E-2</v>
      </c>
      <c r="AR57" s="8">
        <v>2.4049305438355317E-2</v>
      </c>
      <c r="AS57" s="8">
        <v>-4.3852847273715412E-3</v>
      </c>
      <c r="AT57" s="8">
        <v>-9.5704604574128882E-3</v>
      </c>
      <c r="AU57" s="8">
        <v>-9.7407453401539612E-2</v>
      </c>
      <c r="AV57" s="8">
        <v>2.9042787007545312E-2</v>
      </c>
      <c r="AW57" s="8">
        <v>2.6034035003197176E-2</v>
      </c>
      <c r="AX57" s="8">
        <v>5.6326925848158682E-2</v>
      </c>
      <c r="AY57" s="8">
        <v>4.8513591797683164E-2</v>
      </c>
      <c r="AZ57" s="8">
        <v>-5.3573880352845604E-2</v>
      </c>
      <c r="BA57" s="8">
        <v>-3.6397473105148181E-2</v>
      </c>
      <c r="BB57" s="8">
        <v>3.4262975668059581E-2</v>
      </c>
      <c r="BC57" s="8">
        <v>4.7090172533675811E-2</v>
      </c>
      <c r="BD57" s="8">
        <v>7.0952311917134303E-2</v>
      </c>
      <c r="BE57" s="8">
        <v>-4.7749649630737911E-2</v>
      </c>
      <c r="BF57" s="8">
        <v>2.7927370347351099E-2</v>
      </c>
      <c r="BG57" s="8">
        <v>9.9254274441816392E-2</v>
      </c>
      <c r="BH57" s="8">
        <v>7.5085692587096298E-3</v>
      </c>
      <c r="BI57" s="8">
        <v>3.8957566763329288E-2</v>
      </c>
      <c r="BJ57" s="8">
        <v>4.1968759880965711E-2</v>
      </c>
      <c r="BK57" s="8">
        <v>4.955455598452968E-2</v>
      </c>
      <c r="BL57" s="8">
        <v>3.0807961383926052E-2</v>
      </c>
      <c r="BM57" s="8">
        <v>4.7825170671457251E-2</v>
      </c>
      <c r="BN57" s="8">
        <v>0.11792948024324945</v>
      </c>
      <c r="BO57" s="8">
        <v>-4.2174233427278218E-2</v>
      </c>
      <c r="BP57" s="8">
        <v>6.6021078297731739E-2</v>
      </c>
      <c r="BQ57" s="8">
        <v>-3.3940087871920377E-3</v>
      </c>
      <c r="BR57" s="8">
        <v>3.328177325619075E-3</v>
      </c>
      <c r="BS57" s="8">
        <v>3.4586317539210265E-2</v>
      </c>
      <c r="BT57" s="8">
        <v>-2.6323240215345711E-2</v>
      </c>
      <c r="BU57" s="8">
        <v>-3.0566946691564512E-2</v>
      </c>
      <c r="BV57" s="8">
        <v>0.10876092723152658</v>
      </c>
      <c r="BW57" s="8">
        <v>-2.7072079301608154E-2</v>
      </c>
      <c r="BX57" s="8">
        <v>-3.0828817162442013E-2</v>
      </c>
      <c r="BY57" s="8">
        <v>2.6074269730250288E-2</v>
      </c>
      <c r="BZ57" s="8">
        <v>4.6933821784912066E-2</v>
      </c>
      <c r="CA57" s="8">
        <v>3.9802668663116381E-2</v>
      </c>
      <c r="CB57" s="8">
        <v>1.6397187378453026E-2</v>
      </c>
      <c r="CC57" s="8">
        <v>1.0912530474958992E-2</v>
      </c>
      <c r="CD57" s="8">
        <v>0.14240664896706723</v>
      </c>
      <c r="CE57" s="8">
        <v>7.295670389675224E-2</v>
      </c>
      <c r="CF57" s="8">
        <v>5.4827339831150457E-2</v>
      </c>
      <c r="CG57" s="8">
        <v>-3.8503125905980928E-3</v>
      </c>
      <c r="CH57" s="8">
        <v>9.0569020860215232E-2</v>
      </c>
      <c r="CI57" s="8">
        <v>-3.6067978850028826E-2</v>
      </c>
      <c r="CJ57" s="8">
        <v>-1.0606727168846308E-2</v>
      </c>
      <c r="CK57" s="8">
        <v>9.6551585189804889E-2</v>
      </c>
      <c r="CL57" s="8">
        <v>-8.3251136367159528E-3</v>
      </c>
      <c r="CM57" s="8">
        <v>-2.4328753279880211E-2</v>
      </c>
      <c r="CN57" s="8">
        <v>-4.1028631670238569E-2</v>
      </c>
      <c r="CO57" s="8">
        <v>-4.0244944121586634E-2</v>
      </c>
      <c r="CP57" s="8">
        <v>3.8414258139653823E-2</v>
      </c>
      <c r="CQ57" s="8">
        <v>2.4409403406077779E-2</v>
      </c>
      <c r="CR57" s="8">
        <v>1.3366669800993769E-3</v>
      </c>
      <c r="CS57" s="8">
        <v>-7.2873257319225726E-2</v>
      </c>
      <c r="CT57" s="8">
        <v>-5.3618578822217766E-2</v>
      </c>
      <c r="CU57" s="8">
        <v>2.8875099016250738E-2</v>
      </c>
      <c r="CV57" s="8">
        <v>-6.7550777326623457E-2</v>
      </c>
      <c r="CW57" s="8">
        <v>1.8070847628750109E-2</v>
      </c>
      <c r="CX57" s="8">
        <v>-9.3635501245727948E-3</v>
      </c>
      <c r="CY57" s="8">
        <v>1.2930014364008757E-2</v>
      </c>
      <c r="CZ57" s="8">
        <v>0.15811804284580977</v>
      </c>
      <c r="DA57" s="8">
        <v>-2.8922281036664055E-3</v>
      </c>
      <c r="DB57" s="8">
        <v>-2.4290937777117827E-2</v>
      </c>
      <c r="DC57" s="8">
        <v>-5.5254120699524401E-2</v>
      </c>
      <c r="DD57" s="8">
        <v>-5.2949619050211005E-3</v>
      </c>
      <c r="DE57" s="8">
        <v>4.4203665607181031E-2</v>
      </c>
      <c r="DF57" s="8">
        <v>6.6258769370075521E-2</v>
      </c>
      <c r="DG57" s="8">
        <v>-7.2844998850807974E-2</v>
      </c>
      <c r="DH57" s="8">
        <v>-1.4076936394242456E-2</v>
      </c>
      <c r="DI57" s="8">
        <v>-2.5442913695738034E-2</v>
      </c>
      <c r="DJ57" s="8">
        <v>-4.8602039981417211E-2</v>
      </c>
      <c r="DK57" s="8">
        <v>6.6888348965661926E-2</v>
      </c>
      <c r="DL57" s="8">
        <v>-0.10212616334529823</v>
      </c>
      <c r="DM57" s="8">
        <v>-5.60964164433993E-2</v>
      </c>
      <c r="DN57" s="8">
        <v>-8.0086508326171757E-2</v>
      </c>
      <c r="DO57" s="8">
        <v>-1.1163088985152725E-2</v>
      </c>
      <c r="DP57" s="8">
        <v>1.4289961653831451E-2</v>
      </c>
      <c r="DQ57" s="8">
        <v>4.0414760959954776E-3</v>
      </c>
      <c r="DR57" s="8">
        <v>5.41473747202037E-5</v>
      </c>
      <c r="DS57" s="8">
        <v>8.5978562412346859E-2</v>
      </c>
      <c r="DT57" s="8">
        <v>7.9840855078956718E-2</v>
      </c>
      <c r="DU57" s="8">
        <v>-6.898862808413242E-2</v>
      </c>
      <c r="DV57" s="8">
        <v>7.0916564608335952E-2</v>
      </c>
      <c r="DW57" s="8">
        <v>-5.6266667531335024E-2</v>
      </c>
      <c r="DX57" s="8">
        <v>-2.3682470781304366E-3</v>
      </c>
      <c r="DY57" s="8">
        <v>3.0731401564789596E-2</v>
      </c>
      <c r="DZ57" s="8">
        <v>-1.6835131202720177E-2</v>
      </c>
      <c r="EA57" s="8">
        <v>-1.9749506147318019E-2</v>
      </c>
      <c r="EB57" s="8">
        <v>2.4880816395832395E-2</v>
      </c>
      <c r="EC57" s="8">
        <v>1.8764959488323629E-2</v>
      </c>
      <c r="ED57" s="8">
        <v>6.8189090341913006E-2</v>
      </c>
      <c r="EE57" s="8">
        <v>-2.4539214522331654E-2</v>
      </c>
      <c r="EF57" s="8">
        <v>-1.8094599400828859E-2</v>
      </c>
      <c r="EG57" s="8">
        <v>2.0304313176400357E-2</v>
      </c>
      <c r="EH57" s="8">
        <v>-5.293285183470442E-3</v>
      </c>
      <c r="EI57" s="8">
        <v>-9.8379520852126923E-2</v>
      </c>
      <c r="EJ57" s="8">
        <v>2.7535216672426532E-2</v>
      </c>
      <c r="EK57" s="8">
        <v>-5.509497329963492E-2</v>
      </c>
      <c r="EL57" s="8">
        <v>-1.6070624472323325E-2</v>
      </c>
      <c r="EM57" s="8">
        <v>-3.0606752102953605E-2</v>
      </c>
      <c r="EN57" s="8">
        <v>-2.2490431079409401E-3</v>
      </c>
      <c r="EO57" s="8">
        <v>4.8393772394058066E-3</v>
      </c>
      <c r="EP57" s="8">
        <v>-1.0735914166278282E-2</v>
      </c>
      <c r="EQ57" s="8">
        <v>2.3144179584459468E-3</v>
      </c>
      <c r="ER57" s="8">
        <v>7.816043052499444E-3</v>
      </c>
      <c r="ES57" s="8">
        <v>4.9403655918043632E-2</v>
      </c>
      <c r="ET57" s="8">
        <v>-5.5875807698900326E-2</v>
      </c>
      <c r="EU57" s="8">
        <v>-6.4535450695227814E-3</v>
      </c>
      <c r="EV57" s="8">
        <v>8.8708312545382473E-4</v>
      </c>
      <c r="EW57" s="8">
        <v>5.1106418103414042E-2</v>
      </c>
      <c r="EX57" s="8">
        <v>4.9169789072270598E-2</v>
      </c>
      <c r="EY57" s="8">
        <v>1.1400702368791205E-4</v>
      </c>
      <c r="EZ57" s="8">
        <v>3.9006289441082476E-2</v>
      </c>
      <c r="FA57" s="8">
        <v>5.2280768778291908E-2</v>
      </c>
      <c r="FB57" s="8">
        <v>1.8128957977728843E-2</v>
      </c>
      <c r="FC57" s="8">
        <v>-3.6593698896567273E-2</v>
      </c>
      <c r="FD57" s="8">
        <v>-5.3266297274729202E-2</v>
      </c>
      <c r="FE57" s="8">
        <v>-1.3588322985813528E-2</v>
      </c>
      <c r="FF57" s="8">
        <v>7.8434521811794333E-2</v>
      </c>
      <c r="FG57" s="8">
        <v>-4.6195335748350275E-2</v>
      </c>
      <c r="FH57" s="8">
        <v>4.3969253913593631E-2</v>
      </c>
      <c r="FI57" s="8">
        <v>8.9690810614557359E-2</v>
      </c>
      <c r="FJ57" s="8">
        <v>4.9266050440220754E-2</v>
      </c>
      <c r="FK57" s="8">
        <v>4.9472422921797876E-2</v>
      </c>
      <c r="FL57" s="8">
        <v>4.379082911372767E-2</v>
      </c>
      <c r="FM57" s="8">
        <v>6.0778956682196961E-2</v>
      </c>
      <c r="FN57" s="8">
        <v>-8.1646933370252139E-2</v>
      </c>
      <c r="FO57" s="8">
        <v>1.9767910133261513E-3</v>
      </c>
      <c r="FP57" s="8">
        <v>1.1229392066727073E-2</v>
      </c>
      <c r="FQ57" s="8">
        <v>-1.8399277783958667E-3</v>
      </c>
      <c r="FR57" s="8">
        <v>-2.767728757519744E-2</v>
      </c>
      <c r="FS57" s="8">
        <v>-9.1572467179065808E-2</v>
      </c>
      <c r="FT57" s="8">
        <v>-6.185899066406858E-2</v>
      </c>
      <c r="FU57" s="8">
        <v>-3.909817784805153E-2</v>
      </c>
      <c r="FV57" s="8">
        <v>3.0463034168380698E-2</v>
      </c>
      <c r="FW57" s="8">
        <v>5.0407256815194645E-2</v>
      </c>
      <c r="FX57" s="8">
        <v>-6.2456491147211413E-4</v>
      </c>
      <c r="FY57" s="8">
        <v>-3.7690176893198257E-2</v>
      </c>
      <c r="FZ57" s="8">
        <v>7.2154263018795184E-2</v>
      </c>
      <c r="GA57" s="8">
        <v>-0.14533579221308957</v>
      </c>
      <c r="GB57" s="8">
        <v>4.6506288043304422E-2</v>
      </c>
      <c r="GC57" s="8">
        <v>-5.9416862224310196E-2</v>
      </c>
      <c r="GD57" s="8">
        <v>-1.798412526795834E-2</v>
      </c>
      <c r="GE57" s="8">
        <v>9.8227929395566238E-3</v>
      </c>
      <c r="GF57" s="8">
        <v>-2.4353605416856383E-2</v>
      </c>
      <c r="GG57" s="8">
        <v>2.4214846149718416E-2</v>
      </c>
      <c r="GH57" s="8">
        <v>-2.5938476241228137E-2</v>
      </c>
      <c r="GI57" s="8">
        <v>-2.1867117781021905E-2</v>
      </c>
      <c r="GJ57" s="8">
        <v>2.4181105679811743E-2</v>
      </c>
      <c r="GK57" s="8">
        <v>7.6535398663373222E-3</v>
      </c>
      <c r="GL57" s="8">
        <v>2.2053514097983895E-2</v>
      </c>
      <c r="GM57" s="8">
        <v>-2.3226980752010129E-2</v>
      </c>
      <c r="GN57" s="8">
        <v>6.9905196351386978E-2</v>
      </c>
      <c r="GO57" s="8">
        <v>3.1007925145567161E-2</v>
      </c>
      <c r="GP57" s="8">
        <v>-7.5629461750141735E-2</v>
      </c>
      <c r="GQ57" s="8">
        <v>-2.1005226704522761E-2</v>
      </c>
      <c r="GR57" s="8">
        <v>2.274572458063312E-2</v>
      </c>
      <c r="GS57" s="8">
        <v>4.8734626487767274E-2</v>
      </c>
      <c r="GT57" s="8">
        <v>-5.0923824667953477E-2</v>
      </c>
      <c r="GU57" s="8">
        <v>-1.136136166629359E-2</v>
      </c>
      <c r="GV57" s="8">
        <v>1.9957374584139043E-2</v>
      </c>
      <c r="GW57" s="8">
        <v>-4.2751011678085482E-2</v>
      </c>
      <c r="GX57" s="8">
        <v>4.9450645883289124E-2</v>
      </c>
      <c r="GY57" s="8">
        <v>3.2433479023413481E-2</v>
      </c>
      <c r="GZ57" s="8">
        <v>-5.5918720447039438E-2</v>
      </c>
      <c r="HA57" s="8">
        <v>-6.932815403849979E-2</v>
      </c>
      <c r="HB57" s="8">
        <v>-2.3045970685985351E-3</v>
      </c>
      <c r="HC57" s="8">
        <v>-1.9093822733808719E-2</v>
      </c>
      <c r="HD57" s="8">
        <v>4.2022232753283928E-2</v>
      </c>
      <c r="HE57" s="8">
        <v>-5.7172589325207079E-2</v>
      </c>
      <c r="HF57" s="8">
        <v>4.4855150991178705E-2</v>
      </c>
      <c r="HG57" s="8">
        <v>0.12396275064794188</v>
      </c>
      <c r="HH57" s="8">
        <v>0.13841551316408784</v>
      </c>
      <c r="HI57" s="8">
        <v>-3.1015158394520348E-2</v>
      </c>
      <c r="HJ57" s="8">
        <v>-2.2775032089678016E-2</v>
      </c>
      <c r="HK57" s="8">
        <v>2.4818396110203866E-3</v>
      </c>
      <c r="HL57" s="8">
        <v>-4.7248862561253158E-2</v>
      </c>
      <c r="HM57" s="8">
        <v>-1.2975784881435082E-2</v>
      </c>
      <c r="HN57" s="8">
        <v>4.8439212489092776E-2</v>
      </c>
      <c r="HO57" s="8">
        <v>7.1257851717070886E-2</v>
      </c>
      <c r="HP57" s="8">
        <v>-2.7109071992553746E-4</v>
      </c>
      <c r="HQ57" s="8">
        <v>3.9087125453818317E-4</v>
      </c>
      <c r="HR57" s="8">
        <v>-2.9344977441483344E-3</v>
      </c>
      <c r="HS57" s="8">
        <v>7.2430235921954689E-2</v>
      </c>
      <c r="HT57" s="8">
        <v>4.6338702450850699E-2</v>
      </c>
      <c r="HU57" s="8">
        <v>4.7757203675754034E-2</v>
      </c>
      <c r="HV57" s="8">
        <v>-2.5979744643149227E-2</v>
      </c>
      <c r="HW57" s="8">
        <v>0.14085034838778976</v>
      </c>
      <c r="HX57" s="8">
        <v>6.4203151497746136E-2</v>
      </c>
      <c r="HY57" s="8">
        <v>4.0981069864835296E-2</v>
      </c>
      <c r="HZ57" s="8">
        <v>-4.8205132810619944E-2</v>
      </c>
      <c r="IA57" s="8">
        <v>6.5289619718120639E-2</v>
      </c>
      <c r="IB57" s="8">
        <v>9.1471058452461784E-2</v>
      </c>
      <c r="IC57" s="8">
        <v>-5.1069397281851003E-2</v>
      </c>
      <c r="ID57" s="8">
        <v>9.7217779814612326E-3</v>
      </c>
      <c r="IE57" s="8">
        <v>-2.5223802146260077E-2</v>
      </c>
      <c r="IF57" s="8">
        <v>-1.3443861847542093E-2</v>
      </c>
      <c r="IG57" s="8">
        <v>0.11230168494004872</v>
      </c>
      <c r="IH57" s="8">
        <v>-6.2303698477579272E-2</v>
      </c>
      <c r="II57" s="8">
        <v>-1.6521275169189553E-3</v>
      </c>
      <c r="IJ57" s="8">
        <v>-6.8578837013615501E-2</v>
      </c>
      <c r="IK57" s="8">
        <v>6.2352115163435196E-2</v>
      </c>
      <c r="IL57" s="8">
        <v>-6.1515402487349824E-2</v>
      </c>
      <c r="IM57" s="8">
        <v>-2.715338178314286E-2</v>
      </c>
      <c r="IN57" s="8">
        <v>1.9967348830027765E-2</v>
      </c>
      <c r="IO57" s="8">
        <v>5.171145289639234E-2</v>
      </c>
      <c r="IP57" s="8">
        <v>-8.4061989948726601E-2</v>
      </c>
      <c r="IQ57" s="8">
        <v>-5.2629698626389665E-3</v>
      </c>
      <c r="IR57" s="8">
        <v>-1.7976845875990244E-2</v>
      </c>
      <c r="IS57" s="8">
        <v>-4.6919717533269012E-2</v>
      </c>
      <c r="IT57" s="8">
        <v>9.9472116639695018E-3</v>
      </c>
    </row>
    <row r="58" spans="1:254" s="11" customFormat="1" x14ac:dyDescent="0.2">
      <c r="A58" s="10"/>
      <c r="B58" s="12">
        <v>1.25</v>
      </c>
      <c r="C58" s="2">
        <f t="shared" si="43"/>
        <v>2.4375981507375109E-2</v>
      </c>
      <c r="D58" s="3">
        <f t="shared" si="44"/>
        <v>6.9891625191120077E-2</v>
      </c>
      <c r="E58" s="8">
        <v>-5.2384194708465337E-2</v>
      </c>
      <c r="F58" s="8">
        <v>-3.4135296603756859E-2</v>
      </c>
      <c r="G58" s="8">
        <v>2.2066200305686789E-2</v>
      </c>
      <c r="H58" s="8">
        <v>9.0174648463081708E-2</v>
      </c>
      <c r="I58" s="8">
        <v>-3.0592672428486289E-2</v>
      </c>
      <c r="J58" s="8">
        <v>-3.1776090398942802E-2</v>
      </c>
      <c r="K58" s="8">
        <v>5.2420750388240456E-2</v>
      </c>
      <c r="L58" s="8">
        <v>4.3791401901215998E-2</v>
      </c>
      <c r="M58" s="8">
        <v>-8.680698404990711E-2</v>
      </c>
      <c r="N58" s="8">
        <v>-4.4480728327910501E-2</v>
      </c>
      <c r="O58" s="8">
        <v>-1.3902030463328274E-2</v>
      </c>
      <c r="P58" s="8">
        <v>-4.0764829724224572E-2</v>
      </c>
      <c r="Q58" s="8">
        <v>9.7804450143924748E-2</v>
      </c>
      <c r="R58" s="8">
        <v>-2.6235371794925411E-2</v>
      </c>
      <c r="S58" s="8">
        <v>-1.2569026594084209E-2</v>
      </c>
      <c r="T58" s="8">
        <v>-1.6719694605920044E-2</v>
      </c>
      <c r="U58" s="8">
        <v>-7.2257128407037075E-2</v>
      </c>
      <c r="V58" s="8">
        <v>3.4709686230077752E-4</v>
      </c>
      <c r="W58" s="8">
        <v>7.8358331065589704E-2</v>
      </c>
      <c r="X58" s="8">
        <v>-2.6120103541486916E-2</v>
      </c>
      <c r="Y58" s="8">
        <v>-3.6021009320300945E-2</v>
      </c>
      <c r="Z58" s="8">
        <v>-0.10584908332458409</v>
      </c>
      <c r="AA58" s="8">
        <v>4.6610254035747145E-3</v>
      </c>
      <c r="AB58" s="8">
        <v>4.7528095676224957E-2</v>
      </c>
      <c r="AC58" s="8">
        <v>-8.8262449151369937E-2</v>
      </c>
      <c r="AD58" s="8">
        <v>-3.0562462085414466E-2</v>
      </c>
      <c r="AE58" s="8">
        <v>1.8117788539769752E-2</v>
      </c>
      <c r="AF58" s="8">
        <v>-0.12232263556593098</v>
      </c>
      <c r="AG58" s="8">
        <v>-3.8119548673326231E-2</v>
      </c>
      <c r="AH58" s="8">
        <v>3.4571124381792495E-2</v>
      </c>
      <c r="AI58" s="8">
        <v>-1.1341383981031683E-2</v>
      </c>
      <c r="AJ58" s="8">
        <v>-4.2276282180440772E-2</v>
      </c>
      <c r="AK58" s="8">
        <v>4.6597985841847378E-2</v>
      </c>
      <c r="AL58" s="8">
        <v>5.7615110087884225E-2</v>
      </c>
      <c r="AM58" s="8">
        <v>7.1603432250101406E-2</v>
      </c>
      <c r="AN58" s="8">
        <v>7.0124365038594094E-3</v>
      </c>
      <c r="AO58" s="8">
        <v>-7.6096502699579793E-2</v>
      </c>
      <c r="AP58" s="8">
        <v>2.623203707567251E-2</v>
      </c>
      <c r="AQ58" s="8">
        <v>-7.0075726181746345E-2</v>
      </c>
      <c r="AR58" s="8">
        <v>8.4604129428291486E-2</v>
      </c>
      <c r="AS58" s="8">
        <v>-8.1770735743292855E-3</v>
      </c>
      <c r="AT58" s="8">
        <v>-3.0091922423099216E-2</v>
      </c>
      <c r="AU58" s="8">
        <v>-9.6034479475465617E-2</v>
      </c>
      <c r="AV58" s="8">
        <v>-3.7781353854984268E-3</v>
      </c>
      <c r="AW58" s="8">
        <v>6.6639234658166235E-3</v>
      </c>
      <c r="AX58" s="8">
        <v>5.2876034082781742E-2</v>
      </c>
      <c r="AY58" s="8">
        <v>2.6158796232380155E-2</v>
      </c>
      <c r="AZ58" s="8">
        <v>-5.214629348671318E-2</v>
      </c>
      <c r="BA58" s="8">
        <v>-4.6424818774267851E-2</v>
      </c>
      <c r="BB58" s="8">
        <v>6.5770923690129379E-3</v>
      </c>
      <c r="BC58" s="8">
        <v>5.5270312885595085E-2</v>
      </c>
      <c r="BD58" s="8">
        <v>5.6142275081349835E-2</v>
      </c>
      <c r="BE58" s="8">
        <v>-5.906393031220003E-2</v>
      </c>
      <c r="BF58" s="8">
        <v>4.224835030030577E-2</v>
      </c>
      <c r="BG58" s="8">
        <v>8.7365603870771524E-2</v>
      </c>
      <c r="BH58" s="8">
        <v>5.7238973501048673E-3</v>
      </c>
      <c r="BI58" s="8">
        <v>5.0414294955285266E-2</v>
      </c>
      <c r="BJ58" s="8">
        <v>1.0428128623418242E-2</v>
      </c>
      <c r="BK58" s="8">
        <v>9.4825566361299019E-2</v>
      </c>
      <c r="BL58" s="8">
        <v>1.5647729233104757E-3</v>
      </c>
      <c r="BM58" s="8">
        <v>3.3753404853552049E-2</v>
      </c>
      <c r="BN58" s="8">
        <v>0.12415766475323253</v>
      </c>
      <c r="BO58" s="8">
        <v>-4.7221066927197353E-2</v>
      </c>
      <c r="BP58" s="8">
        <v>0.11036820572986955</v>
      </c>
      <c r="BQ58" s="8">
        <v>3.0435606913251645E-3</v>
      </c>
      <c r="BR58" s="8">
        <v>-2.5977273623814523E-3</v>
      </c>
      <c r="BS58" s="8">
        <v>2.8578817035821436E-2</v>
      </c>
      <c r="BT58" s="8">
        <v>-2.0305074485732932E-2</v>
      </c>
      <c r="BU58" s="8">
        <v>-2.937324464912705E-2</v>
      </c>
      <c r="BV58" s="8">
        <v>0.11025895909744754</v>
      </c>
      <c r="BW58" s="8">
        <v>-1.0740022183083342E-2</v>
      </c>
      <c r="BX58" s="8">
        <v>-2.2674915907884063E-2</v>
      </c>
      <c r="BY58" s="8">
        <v>2.0592109040494355E-2</v>
      </c>
      <c r="BZ58" s="8">
        <v>4.5937131004689991E-2</v>
      </c>
      <c r="CA58" s="8">
        <v>6.3438298529358561E-3</v>
      </c>
      <c r="CB58" s="8">
        <v>4.127208583756875E-2</v>
      </c>
      <c r="CC58" s="8">
        <v>2.7461621535468383E-4</v>
      </c>
      <c r="CD58" s="8">
        <v>0.12265884899405111</v>
      </c>
      <c r="CE58" s="8">
        <v>5.534418677792996E-2</v>
      </c>
      <c r="CF58" s="8">
        <v>6.4407582643626227E-2</v>
      </c>
      <c r="CG58" s="8">
        <v>-2.9092915459092761E-2</v>
      </c>
      <c r="CH58" s="8">
        <v>6.9891625191120077E-2</v>
      </c>
      <c r="CI58" s="8">
        <v>-4.9961974509261486E-2</v>
      </c>
      <c r="CJ58" s="8">
        <v>1.8486521323914484E-2</v>
      </c>
      <c r="CK58" s="8">
        <v>5.5175546706088208E-2</v>
      </c>
      <c r="CL58" s="8">
        <v>1.7372852938321692E-2</v>
      </c>
      <c r="CM58" s="8">
        <v>-2.3527150569416289E-2</v>
      </c>
      <c r="CN58" s="8">
        <v>1.1839785981342998E-2</v>
      </c>
      <c r="CO58" s="8">
        <v>-8.9503254040561031E-3</v>
      </c>
      <c r="CP58" s="8">
        <v>4.465454383296541E-2</v>
      </c>
      <c r="CQ58" s="8">
        <v>-1.8377251777207393E-4</v>
      </c>
      <c r="CR58" s="8">
        <v>5.8283169095052656E-2</v>
      </c>
      <c r="CS58" s="8">
        <v>-8.6145277815817045E-2</v>
      </c>
      <c r="CT58" s="8">
        <v>-2.9890274326538568E-2</v>
      </c>
      <c r="CU58" s="8">
        <v>-1.1985976634858453E-2</v>
      </c>
      <c r="CV58" s="8">
        <v>-8.2912491538088606E-2</v>
      </c>
      <c r="CW58" s="8">
        <v>-3.3331898767607893E-3</v>
      </c>
      <c r="CX58" s="8">
        <v>-3.9764256284327837E-2</v>
      </c>
      <c r="CY58" s="8">
        <v>-3.9696680477826485E-3</v>
      </c>
      <c r="CZ58" s="8">
        <v>0.16831580594500095</v>
      </c>
      <c r="DA58" s="8">
        <v>1.7516482375319664E-2</v>
      </c>
      <c r="DB58" s="8">
        <v>-9.5121244251863413E-3</v>
      </c>
      <c r="DC58" s="8">
        <v>-2.486534265307333E-2</v>
      </c>
      <c r="DD58" s="8">
        <v>-4.2325834724916689E-3</v>
      </c>
      <c r="DE58" s="8">
        <v>5.6288808927964507E-3</v>
      </c>
      <c r="DF58" s="8">
        <v>4.496322819475923E-2</v>
      </c>
      <c r="DG58" s="8">
        <v>-5.8294449340368981E-2</v>
      </c>
      <c r="DH58" s="8">
        <v>2.4123921798402004E-2</v>
      </c>
      <c r="DI58" s="8">
        <v>-4.6503276789088277E-3</v>
      </c>
      <c r="DJ58" s="8">
        <v>-3.4270310972253692E-2</v>
      </c>
      <c r="DK58" s="8">
        <v>4.0396327985816827E-2</v>
      </c>
      <c r="DL58" s="8">
        <v>-9.861748347316901E-2</v>
      </c>
      <c r="DM58" s="8">
        <v>-3.7700308720052145E-2</v>
      </c>
      <c r="DN58" s="8">
        <v>-8.3851011469743775E-2</v>
      </c>
      <c r="DO58" s="8">
        <v>2.1078657928202404E-2</v>
      </c>
      <c r="DP58" s="8">
        <v>5.6134866522100202E-2</v>
      </c>
      <c r="DQ58" s="8">
        <v>-6.1064291060995979E-3</v>
      </c>
      <c r="DR58" s="8">
        <v>2.6494889666535681E-2</v>
      </c>
      <c r="DS58" s="8">
        <v>9.9400218868144152E-2</v>
      </c>
      <c r="DT58" s="8">
        <v>5.1878461408214505E-2</v>
      </c>
      <c r="DU58" s="8">
        <v>-5.7696647328384032E-2</v>
      </c>
      <c r="DV58" s="8">
        <v>4.6353894456097056E-2</v>
      </c>
      <c r="DW58" s="8">
        <v>-7.4350092320984995E-2</v>
      </c>
      <c r="DX58" s="8">
        <v>-1.9772682827316312E-2</v>
      </c>
      <c r="DY58" s="8">
        <v>5.4879613220221835E-2</v>
      </c>
      <c r="DZ58" s="8">
        <v>-3.0799992749679261E-2</v>
      </c>
      <c r="EA58" s="8">
        <v>-5.8676853622196323E-2</v>
      </c>
      <c r="EB58" s="8">
        <v>5.4567384111088968E-2</v>
      </c>
      <c r="EC58" s="8">
        <v>3.1896242474880931E-2</v>
      </c>
      <c r="ED58" s="8">
        <v>5.4638186179319315E-2</v>
      </c>
      <c r="EE58" s="8">
        <v>-1.9874915357039502E-2</v>
      </c>
      <c r="EF58" s="8">
        <v>-2.0224053555456534E-2</v>
      </c>
      <c r="EG58" s="8">
        <v>3.0861347345587764E-2</v>
      </c>
      <c r="EH58" s="8">
        <v>1.0186019516520484E-2</v>
      </c>
      <c r="EI58" s="8">
        <v>-9.7568663946415002E-2</v>
      </c>
      <c r="EJ58" s="8">
        <v>1.9962668683170259E-2</v>
      </c>
      <c r="EK58" s="8">
        <v>-5.4994747265873944E-2</v>
      </c>
      <c r="EL58" s="8">
        <v>2.4104056477831537E-2</v>
      </c>
      <c r="EM58" s="8">
        <v>-3.1947875621675115E-2</v>
      </c>
      <c r="EN58" s="8">
        <v>-1.6973670280726494E-2</v>
      </c>
      <c r="EO58" s="8">
        <v>6.2582363919499451E-2</v>
      </c>
      <c r="EP58" s="8">
        <v>5.1558249751641472E-3</v>
      </c>
      <c r="EQ58" s="8">
        <v>-5.7110254731342347E-3</v>
      </c>
      <c r="ER58" s="8">
        <v>4.2892162565744518E-2</v>
      </c>
      <c r="ES58" s="8">
        <v>3.6587172265646895E-2</v>
      </c>
      <c r="ET58" s="8">
        <v>-2.9865358491363181E-2</v>
      </c>
      <c r="EU58" s="8">
        <v>-2.6988490364251772E-2</v>
      </c>
      <c r="EV58" s="8">
        <v>1.3463016310180098E-3</v>
      </c>
      <c r="EW58" s="8">
        <v>4.0601310181611561E-2</v>
      </c>
      <c r="EX58" s="8">
        <v>3.8616469950926047E-2</v>
      </c>
      <c r="EY58" s="8">
        <v>1.6579017044183131E-2</v>
      </c>
      <c r="EZ58" s="8">
        <v>5.2603733817825904E-3</v>
      </c>
      <c r="FA58" s="8">
        <v>2.1236034155059258E-2</v>
      </c>
      <c r="FB58" s="8">
        <v>-1.2463192950152857E-3</v>
      </c>
      <c r="FC58" s="8">
        <v>-2.5829289095878005E-2</v>
      </c>
      <c r="FD58" s="8">
        <v>-7.8794513331041482E-2</v>
      </c>
      <c r="FE58" s="8">
        <v>-1.3608868341097868E-2</v>
      </c>
      <c r="FF58" s="8">
        <v>6.6621377237618851E-2</v>
      </c>
      <c r="FG58" s="8">
        <v>-8.292489139922754E-4</v>
      </c>
      <c r="FH58" s="8">
        <v>4.7795961318487679E-2</v>
      </c>
      <c r="FI58" s="8">
        <v>7.7433452669119884E-2</v>
      </c>
      <c r="FJ58" s="8">
        <v>2.3928805658647079E-2</v>
      </c>
      <c r="FK58" s="8">
        <v>4.8405244517206902E-2</v>
      </c>
      <c r="FL58" s="8">
        <v>4.6582939796635081E-2</v>
      </c>
      <c r="FM58" s="8">
        <v>5.5382025648641087E-2</v>
      </c>
      <c r="FN58" s="8">
        <v>-2.1637861185130336E-2</v>
      </c>
      <c r="FO58" s="8">
        <v>2.2844983269783681E-2</v>
      </c>
      <c r="FP58" s="8">
        <v>4.265855407655994E-2</v>
      </c>
      <c r="FQ58" s="8">
        <v>7.7096969729932852E-3</v>
      </c>
      <c r="FR58" s="8">
        <v>-1.8132460266375383E-2</v>
      </c>
      <c r="FS58" s="8">
        <v>-8.5335048880876119E-2</v>
      </c>
      <c r="FT58" s="8">
        <v>-4.8239108291153687E-2</v>
      </c>
      <c r="FU58" s="8">
        <v>-2.2271401884912889E-2</v>
      </c>
      <c r="FV58" s="8">
        <v>2.8026286100944264E-2</v>
      </c>
      <c r="FW58" s="8">
        <v>4.4273406793074011E-2</v>
      </c>
      <c r="FX58" s="8">
        <v>3.7472884371524018E-2</v>
      </c>
      <c r="FY58" s="8">
        <v>-5.4639521169687788E-2</v>
      </c>
      <c r="FZ58" s="8">
        <v>0.11454562319364575</v>
      </c>
      <c r="GA58" s="8">
        <v>-0.17391412743893248</v>
      </c>
      <c r="GB58" s="8">
        <v>7.8170342930212078E-2</v>
      </c>
      <c r="GC58" s="8">
        <v>-8.1020558154621114E-2</v>
      </c>
      <c r="GD58" s="8">
        <v>4.637618620376649E-3</v>
      </c>
      <c r="GE58" s="8">
        <v>1.7086272227940125E-2</v>
      </c>
      <c r="GF58" s="8">
        <v>-1.8389716482729468E-2</v>
      </c>
      <c r="GG58" s="8">
        <v>3.3775325496588848E-2</v>
      </c>
      <c r="GH58" s="8">
        <v>-1.4271400245720156E-2</v>
      </c>
      <c r="GI58" s="8">
        <v>8.7953584316363687E-4</v>
      </c>
      <c r="GJ58" s="8">
        <v>2.1772255456756207E-2</v>
      </c>
      <c r="GK58" s="8">
        <v>4.9003705417505761E-3</v>
      </c>
      <c r="GL58" s="8">
        <v>-2.4251488307346192E-2</v>
      </c>
      <c r="GM58" s="8">
        <v>-3.1502030147419702E-2</v>
      </c>
      <c r="GN58" s="8">
        <v>8.1426060394983679E-2</v>
      </c>
      <c r="GO58" s="8">
        <v>2.8514661559718935E-2</v>
      </c>
      <c r="GP58" s="8">
        <v>-9.8397234179097792E-2</v>
      </c>
      <c r="GQ58" s="8">
        <v>-6.0373818901534815E-2</v>
      </c>
      <c r="GR58" s="8">
        <v>3.9342630268229872E-2</v>
      </c>
      <c r="GS58" s="8">
        <v>2.746711012085995E-2</v>
      </c>
      <c r="GT58" s="8">
        <v>-3.339103296116297E-2</v>
      </c>
      <c r="GU58" s="8">
        <v>-3.1390862756330074E-2</v>
      </c>
      <c r="GV58" s="8">
        <v>5.5397339959865399E-2</v>
      </c>
      <c r="GW58" s="8">
        <v>-3.0321602922722013E-2</v>
      </c>
      <c r="GX58" s="8">
        <v>7.47661864112526E-2</v>
      </c>
      <c r="GY58" s="8">
        <v>1.0796529921947573E-2</v>
      </c>
      <c r="GZ58" s="8">
        <v>-3.6569388848340212E-2</v>
      </c>
      <c r="HA58" s="8">
        <v>-3.2021687135100563E-2</v>
      </c>
      <c r="HB58" s="8">
        <v>-2.3677259225661773E-3</v>
      </c>
      <c r="HC58" s="8">
        <v>-2.8645407764335606E-2</v>
      </c>
      <c r="HD58" s="8">
        <v>2.4737456753982368E-2</v>
      </c>
      <c r="HE58" s="8">
        <v>-9.0952000895116958E-2</v>
      </c>
      <c r="HF58" s="8">
        <v>2.1845862322313114E-2</v>
      </c>
      <c r="HG58" s="8">
        <v>0.13967198988395457</v>
      </c>
      <c r="HH58" s="8">
        <v>0.15089384094203806</v>
      </c>
      <c r="HI58" s="8">
        <v>-4.4975919034456691E-2</v>
      </c>
      <c r="HJ58" s="8">
        <v>-3.1341868448527377E-2</v>
      </c>
      <c r="HK58" s="8">
        <v>-2.8795861101097497E-2</v>
      </c>
      <c r="HL58" s="8">
        <v>-2.1323196225837004E-2</v>
      </c>
      <c r="HM58" s="8">
        <v>7.0618390956657118E-3</v>
      </c>
      <c r="HN58" s="8">
        <v>7.1132342046732411E-2</v>
      </c>
      <c r="HO58" s="8">
        <v>5.9965597869129472E-2</v>
      </c>
      <c r="HP58" s="8">
        <v>-3.9790169877934045E-3</v>
      </c>
      <c r="HQ58" s="8">
        <v>-5.5446276753056689E-3</v>
      </c>
      <c r="HR58" s="8">
        <v>-4.0239786997438021E-3</v>
      </c>
      <c r="HS58" s="8">
        <v>0.13339383140917088</v>
      </c>
      <c r="HT58" s="8">
        <v>5.7250946160248839E-2</v>
      </c>
      <c r="HU58" s="8">
        <v>4.9051539726878812E-2</v>
      </c>
      <c r="HV58" s="8">
        <v>-1.7011921435095056E-2</v>
      </c>
      <c r="HW58" s="8">
        <v>0.15574642389946486</v>
      </c>
      <c r="HX58" s="8">
        <v>4.9846906888422859E-2</v>
      </c>
      <c r="HY58" s="8">
        <v>6.491641844063667E-2</v>
      </c>
      <c r="HZ58" s="8">
        <v>-5.6627430059474959E-2</v>
      </c>
      <c r="IA58" s="8">
        <v>4.7745415724666007E-2</v>
      </c>
      <c r="IB58" s="8">
        <v>0.10615054151248438</v>
      </c>
      <c r="IC58" s="8">
        <v>-6.3364047021202186E-2</v>
      </c>
      <c r="ID58" s="8">
        <v>-1.3141518802090024E-3</v>
      </c>
      <c r="IE58" s="8">
        <v>4.6688316587029099E-3</v>
      </c>
      <c r="IF58" s="8">
        <v>-3.4895158888036348E-2</v>
      </c>
      <c r="IG58" s="8">
        <v>0.1667476065588826</v>
      </c>
      <c r="IH58" s="8">
        <v>-0.10438587222331092</v>
      </c>
      <c r="II58" s="8">
        <v>2.0469236387151868E-2</v>
      </c>
      <c r="IJ58" s="8">
        <v>-0.12903392090762283</v>
      </c>
      <c r="IK58" s="8">
        <v>6.0411241325558807E-2</v>
      </c>
      <c r="IL58" s="8">
        <v>-4.6492420079442542E-2</v>
      </c>
      <c r="IM58" s="8">
        <v>1.5208750038083585E-2</v>
      </c>
      <c r="IN58" s="8">
        <v>3.2226848779880468E-3</v>
      </c>
      <c r="IO58" s="8">
        <v>3.2928577892385402E-2</v>
      </c>
      <c r="IP58" s="8">
        <v>-6.8352430848955814E-2</v>
      </c>
      <c r="IQ58" s="8">
        <v>-3.2458529777203704E-2</v>
      </c>
      <c r="IR58" s="8">
        <v>-3.2240327914203948E-2</v>
      </c>
      <c r="IS58" s="8">
        <v>-5.2780764074609743E-2</v>
      </c>
      <c r="IT58" s="8">
        <v>3.161568951286664E-2</v>
      </c>
    </row>
    <row r="59" spans="1:254" s="11" customFormat="1" x14ac:dyDescent="0.2">
      <c r="A59" s="10"/>
      <c r="B59" s="12">
        <v>1.5</v>
      </c>
      <c r="C59" s="2">
        <f t="shared" si="43"/>
        <v>2.5925930145589811E-2</v>
      </c>
      <c r="D59" s="3">
        <f t="shared" si="44"/>
        <v>8.0361944473966995E-2</v>
      </c>
      <c r="E59" s="8">
        <v>-7.3950813920779235E-2</v>
      </c>
      <c r="F59" s="8">
        <v>-4.5604894225417247E-3</v>
      </c>
      <c r="G59" s="8">
        <v>6.8201665586909432E-3</v>
      </c>
      <c r="H59" s="8">
        <v>6.3857166048203851E-2</v>
      </c>
      <c r="I59" s="8">
        <v>-2.9601479785929641E-2</v>
      </c>
      <c r="J59" s="8">
        <v>-3.2060057807081099E-2</v>
      </c>
      <c r="K59" s="8">
        <v>3.8131084009731031E-2</v>
      </c>
      <c r="L59" s="8">
        <v>5.4308766665564334E-2</v>
      </c>
      <c r="M59" s="8">
        <v>-7.5497699625036163E-2</v>
      </c>
      <c r="N59" s="8">
        <v>-3.2263669931058114E-2</v>
      </c>
      <c r="O59" s="8">
        <v>-2.4586548277211351E-2</v>
      </c>
      <c r="P59" s="8">
        <v>-6.8157447618801714E-2</v>
      </c>
      <c r="Q59" s="8">
        <v>2.7923852635767576E-2</v>
      </c>
      <c r="R59" s="8">
        <v>-3.4858926031159754E-2</v>
      </c>
      <c r="S59" s="8">
        <v>-3.0835821226830762E-2</v>
      </c>
      <c r="T59" s="8">
        <v>-1.1477732913400263E-2</v>
      </c>
      <c r="U59" s="8">
        <v>-8.6480157614596431E-2</v>
      </c>
      <c r="V59" s="8">
        <v>-1.3987718745649802E-2</v>
      </c>
      <c r="W59" s="8">
        <v>0.10487130439794523</v>
      </c>
      <c r="X59" s="8">
        <v>-3.6526229772543162E-2</v>
      </c>
      <c r="Y59" s="8">
        <v>-4.5845608630670998E-2</v>
      </c>
      <c r="Z59" s="8">
        <v>-0.12346854906799459</v>
      </c>
      <c r="AA59" s="8">
        <v>8.6194845025462374E-3</v>
      </c>
      <c r="AB59" s="8">
        <v>7.0682016338240672E-2</v>
      </c>
      <c r="AC59" s="8">
        <v>-0.10060209415461596</v>
      </c>
      <c r="AD59" s="8">
        <v>-5.7818608077313594E-2</v>
      </c>
      <c r="AE59" s="8">
        <v>5.163631730958762E-2</v>
      </c>
      <c r="AF59" s="8">
        <v>-0.14185759179717516</v>
      </c>
      <c r="AG59" s="8">
        <v>-1.8773369633151404E-2</v>
      </c>
      <c r="AH59" s="8">
        <v>-9.5418774712952015E-4</v>
      </c>
      <c r="AI59" s="8">
        <v>-1.1996774273889232E-2</v>
      </c>
      <c r="AJ59" s="8">
        <v>-7.9363024256167036E-2</v>
      </c>
      <c r="AK59" s="8">
        <v>1.2031265641439415E-2</v>
      </c>
      <c r="AL59" s="8">
        <v>3.2686457481939823E-2</v>
      </c>
      <c r="AM59" s="8">
        <v>5.2527846689048863E-2</v>
      </c>
      <c r="AN59" s="8">
        <v>-4.6592051681551949E-2</v>
      </c>
      <c r="AO59" s="8">
        <v>-6.4497781494353423E-2</v>
      </c>
      <c r="AP59" s="8">
        <v>7.9435310744771559E-2</v>
      </c>
      <c r="AQ59" s="8">
        <v>-8.4506353917555066E-2</v>
      </c>
      <c r="AR59" s="8">
        <v>6.0571179724012769E-2</v>
      </c>
      <c r="AS59" s="8">
        <v>-4.3059111372719672E-2</v>
      </c>
      <c r="AT59" s="8">
        <v>-5.2507232444682361E-2</v>
      </c>
      <c r="AU59" s="8">
        <v>-9.0467917959516586E-2</v>
      </c>
      <c r="AV59" s="8">
        <v>3.2625008152645796E-2</v>
      </c>
      <c r="AW59" s="8">
        <v>-8.9552493340341321E-3</v>
      </c>
      <c r="AX59" s="8">
        <v>5.7966028901561273E-2</v>
      </c>
      <c r="AY59" s="8">
        <v>6.6478119269891889E-2</v>
      </c>
      <c r="AZ59" s="8">
        <v>-5.1658476349227656E-2</v>
      </c>
      <c r="BA59" s="8">
        <v>-6.5652176417030361E-2</v>
      </c>
      <c r="BB59" s="8">
        <v>1.834806897812169E-2</v>
      </c>
      <c r="BC59" s="8">
        <v>-1.2379520814494949E-2</v>
      </c>
      <c r="BD59" s="8">
        <v>0.11272638710106431</v>
      </c>
      <c r="BE59" s="8">
        <v>-4.7261528412399112E-2</v>
      </c>
      <c r="BF59" s="8">
        <v>-2.2236803727465615E-3</v>
      </c>
      <c r="BG59" s="8">
        <v>0.11526519191240797</v>
      </c>
      <c r="BH59" s="8">
        <v>3.2046124189926695E-3</v>
      </c>
      <c r="BI59" s="8">
        <v>2.8446449264460438E-2</v>
      </c>
      <c r="BJ59" s="8">
        <v>8.549917864362433E-3</v>
      </c>
      <c r="BK59" s="8">
        <v>0.11286084050434064</v>
      </c>
      <c r="BL59" s="8">
        <v>3.010417623420869E-2</v>
      </c>
      <c r="BM59" s="8">
        <v>2.234938938146025E-3</v>
      </c>
      <c r="BN59" s="8">
        <v>0.13295158554128761</v>
      </c>
      <c r="BO59" s="8">
        <v>-5.9835946615750202E-2</v>
      </c>
      <c r="BP59" s="8">
        <v>8.0716638996058687E-2</v>
      </c>
      <c r="BQ59" s="8">
        <v>1.3512612227993825E-2</v>
      </c>
      <c r="BR59" s="8">
        <v>-4.187390264177937E-2</v>
      </c>
      <c r="BS59" s="8">
        <v>3.5817204893420884E-2</v>
      </c>
      <c r="BT59" s="8">
        <v>-1.8106628204953179E-2</v>
      </c>
      <c r="BU59" s="8">
        <v>1.5779766208954826E-2</v>
      </c>
      <c r="BV59" s="8">
        <v>0.11798748901017786</v>
      </c>
      <c r="BW59" s="8">
        <v>-1.0155146354763112E-2</v>
      </c>
      <c r="BX59" s="8">
        <v>-3.6452543591880382E-2</v>
      </c>
      <c r="BY59" s="8">
        <v>1.3443231761404995E-2</v>
      </c>
      <c r="BZ59" s="8">
        <v>1.5264773144492705E-2</v>
      </c>
      <c r="CA59" s="8">
        <v>1.2794951428608203E-2</v>
      </c>
      <c r="CB59" s="8">
        <v>6.6280414775943763E-2</v>
      </c>
      <c r="CC59" s="8">
        <v>1.1131816964871644E-2</v>
      </c>
      <c r="CD59" s="8">
        <v>0.14091647195268941</v>
      </c>
      <c r="CE59" s="8">
        <v>3.0282507520576263E-2</v>
      </c>
      <c r="CF59" s="8">
        <v>-2.4777321090301285E-3</v>
      </c>
      <c r="CG59" s="8">
        <v>-2.3455022311395013E-2</v>
      </c>
      <c r="CH59" s="8">
        <v>6.3134316245986533E-2</v>
      </c>
      <c r="CI59" s="8">
        <v>-5.3335886291433487E-2</v>
      </c>
      <c r="CJ59" s="8">
        <v>2.3574143560120386E-2</v>
      </c>
      <c r="CK59" s="8">
        <v>1.1090147398136907E-2</v>
      </c>
      <c r="CL59" s="8">
        <v>2.6698328485659895E-2</v>
      </c>
      <c r="CM59" s="8">
        <v>-1.1377338521563918E-2</v>
      </c>
      <c r="CN59" s="8">
        <v>4.1005595701078701E-2</v>
      </c>
      <c r="CO59" s="8">
        <v>1.3521608598560331E-2</v>
      </c>
      <c r="CP59" s="8">
        <v>5.5136532688079942E-2</v>
      </c>
      <c r="CQ59" s="8">
        <v>-5.2801580849791696E-3</v>
      </c>
      <c r="CR59" s="8">
        <v>6.9736216622441671E-2</v>
      </c>
      <c r="CS59" s="8">
        <v>-2.1593759091932729E-2</v>
      </c>
      <c r="CT59" s="8">
        <v>1.9878979035888311E-2</v>
      </c>
      <c r="CU59" s="8">
        <v>1.8563932842562025E-2</v>
      </c>
      <c r="CV59" s="8">
        <v>-7.2410229140758398E-2</v>
      </c>
      <c r="CW59" s="8">
        <v>3.5466271504661084E-2</v>
      </c>
      <c r="CX59" s="8">
        <v>-3.0345180776151559E-2</v>
      </c>
      <c r="CY59" s="8">
        <v>4.040643957222434E-2</v>
      </c>
      <c r="CZ59" s="8">
        <v>0.12937005879546659</v>
      </c>
      <c r="DA59" s="8">
        <v>-1.905407014868854E-3</v>
      </c>
      <c r="DB59" s="8">
        <v>-3.3131625055628278E-2</v>
      </c>
      <c r="DC59" s="8">
        <v>-4.8755524206516299E-3</v>
      </c>
      <c r="DD59" s="8">
        <v>1.9451959735813928E-3</v>
      </c>
      <c r="DE59" s="8">
        <v>4.0685513307318621E-3</v>
      </c>
      <c r="DF59" s="8">
        <v>6.7568049850615763E-2</v>
      </c>
      <c r="DG59" s="8">
        <v>-8.762166348213335E-2</v>
      </c>
      <c r="DH59" s="8">
        <v>2.0651434709997862E-3</v>
      </c>
      <c r="DI59" s="8">
        <v>-2.7599680161627838E-2</v>
      </c>
      <c r="DJ59" s="8">
        <v>3.5209858513413073E-4</v>
      </c>
      <c r="DK59" s="8">
        <v>5.7313388439492352E-2</v>
      </c>
      <c r="DL59" s="8">
        <v>-0.1131129907600209</v>
      </c>
      <c r="DM59" s="8">
        <v>-4.2468995002398924E-2</v>
      </c>
      <c r="DN59" s="8">
        <v>-7.2097832927832228E-2</v>
      </c>
      <c r="DO59" s="8">
        <v>1.3600569870660939E-3</v>
      </c>
      <c r="DP59" s="8">
        <v>9.012508978297179E-2</v>
      </c>
      <c r="DQ59" s="8">
        <v>1.7625432720921541E-2</v>
      </c>
      <c r="DR59" s="8">
        <v>2.1779746220035257E-2</v>
      </c>
      <c r="DS59" s="8">
        <v>0.11205974897190235</v>
      </c>
      <c r="DT59" s="8">
        <v>8.3163660279078955E-2</v>
      </c>
      <c r="DU59" s="8">
        <v>-6.9542585558767467E-2</v>
      </c>
      <c r="DV59" s="8">
        <v>4.5085063727890951E-2</v>
      </c>
      <c r="DW59" s="8">
        <v>-7.3811506184130682E-2</v>
      </c>
      <c r="DX59" s="8">
        <v>-4.1407351342269139E-2</v>
      </c>
      <c r="DY59" s="8">
        <v>5.1210641321335404E-2</v>
      </c>
      <c r="DZ59" s="8">
        <v>-4.3618991356647263E-2</v>
      </c>
      <c r="EA59" s="8">
        <v>-5.2551937298595253E-2</v>
      </c>
      <c r="EB59" s="8">
        <v>4.7272177793384662E-2</v>
      </c>
      <c r="EC59" s="8">
        <v>2.623937417596256E-2</v>
      </c>
      <c r="ED59" s="8">
        <v>8.6808303045196877E-2</v>
      </c>
      <c r="EE59" s="8">
        <v>-2.4164891664765209E-3</v>
      </c>
      <c r="EF59" s="8">
        <v>-2.9429929401562638E-2</v>
      </c>
      <c r="EG59" s="8">
        <v>7.1460840847357987E-2</v>
      </c>
      <c r="EH59" s="8">
        <v>6.7276015106375042E-3</v>
      </c>
      <c r="EI59" s="8">
        <v>-0.1129229655254893</v>
      </c>
      <c r="EJ59" s="8">
        <v>4.016547183145508E-2</v>
      </c>
      <c r="EK59" s="8">
        <v>-5.2007143090312125E-2</v>
      </c>
      <c r="EL59" s="8">
        <v>4.4761408959262339E-2</v>
      </c>
      <c r="EM59" s="8">
        <v>-2.1299394974659158E-2</v>
      </c>
      <c r="EN59" s="8">
        <v>-1.3353727245452862E-2</v>
      </c>
      <c r="EO59" s="8">
        <v>7.2508227873905429E-2</v>
      </c>
      <c r="EP59" s="8">
        <v>2.7177480511806906E-3</v>
      </c>
      <c r="EQ59" s="8">
        <v>2.3842034014838753E-3</v>
      </c>
      <c r="ER59" s="8">
        <v>5.0076241837288371E-2</v>
      </c>
      <c r="ES59" s="8">
        <v>2.9238121646844306E-2</v>
      </c>
      <c r="ET59" s="8">
        <v>4.58788552689815E-3</v>
      </c>
      <c r="EU59" s="8">
        <v>3.3441594513357153E-2</v>
      </c>
      <c r="EV59" s="8">
        <v>-1.2833389158819875E-2</v>
      </c>
      <c r="EW59" s="8">
        <v>4.4425968786952263E-2</v>
      </c>
      <c r="EX59" s="8">
        <v>8.8345257972681224E-3</v>
      </c>
      <c r="EY59" s="8">
        <v>3.6782623986225116E-2</v>
      </c>
      <c r="EZ59" s="8">
        <v>-1.0723081345051955E-2</v>
      </c>
      <c r="FA59" s="8">
        <v>-1.5660395472221422E-2</v>
      </c>
      <c r="FB59" s="8">
        <v>1.7386376759533639E-2</v>
      </c>
      <c r="FC59" s="8">
        <v>-7.2392130741797289E-2</v>
      </c>
      <c r="FD59" s="8">
        <v>-4.4225925438993618E-2</v>
      </c>
      <c r="FE59" s="8">
        <v>-2.8225063164009245E-2</v>
      </c>
      <c r="FF59" s="8">
        <v>3.4253494669390705E-2</v>
      </c>
      <c r="FG59" s="8">
        <v>1.1066773064718538E-2</v>
      </c>
      <c r="FH59" s="8">
        <v>4.4978113992447111E-2</v>
      </c>
      <c r="FI59" s="8">
        <v>4.0665664024870041E-2</v>
      </c>
      <c r="FJ59" s="8">
        <v>3.8841337482696137E-2</v>
      </c>
      <c r="FK59" s="8">
        <v>1.4770929583535264E-2</v>
      </c>
      <c r="FL59" s="8">
        <v>2.2768614105704577E-2</v>
      </c>
      <c r="FM59" s="8">
        <v>7.3365045004988305E-2</v>
      </c>
      <c r="FN59" s="8">
        <v>-5.995244985813275E-3</v>
      </c>
      <c r="FO59" s="8">
        <v>2.565058587960839E-2</v>
      </c>
      <c r="FP59" s="8">
        <v>5.5928701474885711E-2</v>
      </c>
      <c r="FQ59" s="8">
        <v>-1.8763718191407874E-2</v>
      </c>
      <c r="FR59" s="8">
        <v>-3.4385063540797622E-2</v>
      </c>
      <c r="FS59" s="8">
        <v>-5.8186719763676453E-2</v>
      </c>
      <c r="FT59" s="8">
        <v>-4.0053454272560352E-2</v>
      </c>
      <c r="FU59" s="8">
        <v>-2.4421540019573029E-2</v>
      </c>
      <c r="FV59" s="8">
        <v>2.7097282518201926E-2</v>
      </c>
      <c r="FW59" s="8">
        <v>5.8344290228253881E-2</v>
      </c>
      <c r="FX59" s="8">
        <v>4.4760137359297125E-2</v>
      </c>
      <c r="FY59" s="8">
        <v>-5.0792142693977138E-2</v>
      </c>
      <c r="FZ59" s="8">
        <v>9.7571274594279944E-2</v>
      </c>
      <c r="GA59" s="8">
        <v>-0.16460242446333778</v>
      </c>
      <c r="GB59" s="8">
        <v>8.0361944473966995E-2</v>
      </c>
      <c r="GC59" s="8">
        <v>-7.5751307344210261E-2</v>
      </c>
      <c r="GD59" s="8">
        <v>2.0116275744963719E-2</v>
      </c>
      <c r="GE59" s="8">
        <v>2.5730817439308162E-2</v>
      </c>
      <c r="GF59" s="8">
        <v>-8.5757538084125784E-3</v>
      </c>
      <c r="GG59" s="8">
        <v>7.0572457372719555E-3</v>
      </c>
      <c r="GH59" s="8">
        <v>-4.2402869122974085E-2</v>
      </c>
      <c r="GI59" s="8">
        <v>3.841665385974552E-2</v>
      </c>
      <c r="GJ59" s="8">
        <v>-1.8167024662713471E-2</v>
      </c>
      <c r="GK59" s="8">
        <v>-5.8188927954526126E-3</v>
      </c>
      <c r="GL59" s="8">
        <v>-1.1735656945886963E-2</v>
      </c>
      <c r="GM59" s="8">
        <v>-1.2177317954861488E-2</v>
      </c>
      <c r="GN59" s="8">
        <v>0.15478779895817713</v>
      </c>
      <c r="GO59" s="8">
        <v>-1.054327548670575E-3</v>
      </c>
      <c r="GP59" s="8">
        <v>-0.12707500463773225</v>
      </c>
      <c r="GQ59" s="8">
        <v>-7.6673127451987289E-2</v>
      </c>
      <c r="GR59" s="8">
        <v>5.2587876149355173E-2</v>
      </c>
      <c r="GS59" s="8">
        <v>-8.8316890059910724E-3</v>
      </c>
      <c r="GT59" s="8">
        <v>6.1741975303168939E-3</v>
      </c>
      <c r="GU59" s="8">
        <v>-2.9280086349871781E-2</v>
      </c>
      <c r="GV59" s="8">
        <v>2.8449955304704844E-2</v>
      </c>
      <c r="GW59" s="8">
        <v>-2.0205964994062797E-2</v>
      </c>
      <c r="GX59" s="8">
        <v>0.10521489521675653</v>
      </c>
      <c r="GY59" s="8">
        <v>-1.1572745230761572E-2</v>
      </c>
      <c r="GZ59" s="8">
        <v>-4.4876421904785468E-2</v>
      </c>
      <c r="HA59" s="8">
        <v>-3.9793525445319444E-2</v>
      </c>
      <c r="HB59" s="8">
        <v>5.6876659384392403E-2</v>
      </c>
      <c r="HC59" s="8">
        <v>2.6589470486838851E-2</v>
      </c>
      <c r="HD59" s="8">
        <v>1.1997473243306689E-2</v>
      </c>
      <c r="HE59" s="8">
        <v>-3.3998301011478937E-2</v>
      </c>
      <c r="HF59" s="8">
        <v>-1.4242881529229146E-2</v>
      </c>
      <c r="HG59" s="8">
        <v>0.11117265615316618</v>
      </c>
      <c r="HH59" s="8">
        <v>0.16824078890959221</v>
      </c>
      <c r="HI59" s="8">
        <v>-4.5171328258862498E-2</v>
      </c>
      <c r="HJ59" s="8">
        <v>-3.7683538551493867E-2</v>
      </c>
      <c r="HK59" s="8">
        <v>-3.6754378701212731E-2</v>
      </c>
      <c r="HL59" s="8">
        <v>-4.5386612466698506E-3</v>
      </c>
      <c r="HM59" s="8">
        <v>6.2236066017524183E-3</v>
      </c>
      <c r="HN59" s="8">
        <v>3.662428335255169E-2</v>
      </c>
      <c r="HO59" s="8">
        <v>9.1696860196898156E-2</v>
      </c>
      <c r="HP59" s="8">
        <v>7.4712594507843622E-3</v>
      </c>
      <c r="HQ59" s="8">
        <v>-3.0634701415882537E-4</v>
      </c>
      <c r="HR59" s="8">
        <v>-9.6088675917194166E-4</v>
      </c>
      <c r="HS59" s="8">
        <v>0.18261785730505581</v>
      </c>
      <c r="HT59" s="8">
        <v>0.10038312146773759</v>
      </c>
      <c r="HU59" s="8">
        <v>0.10743171211553831</v>
      </c>
      <c r="HV59" s="8">
        <v>9.1220769074105146E-3</v>
      </c>
      <c r="HW59" s="8">
        <v>0.20925560481586514</v>
      </c>
      <c r="HX59" s="8">
        <v>5.1260204642068652E-2</v>
      </c>
      <c r="HY59" s="8">
        <v>4.7296513305785992E-2</v>
      </c>
      <c r="HZ59" s="8">
        <v>-6.0293140595910122E-2</v>
      </c>
      <c r="IA59" s="8">
        <v>7.1564600200857087E-2</v>
      </c>
      <c r="IB59" s="8">
        <v>9.7348532217662154E-2</v>
      </c>
      <c r="IC59" s="8">
        <v>-5.4267769581520575E-2</v>
      </c>
      <c r="ID59" s="8">
        <v>-3.015375089815564E-2</v>
      </c>
      <c r="IE59" s="8">
        <v>4.7317400623965167E-3</v>
      </c>
      <c r="IF59" s="8">
        <v>-9.9215476704402172E-2</v>
      </c>
      <c r="IG59" s="8">
        <v>0.17944597280632085</v>
      </c>
      <c r="IH59" s="8">
        <v>-9.4574967556517509E-2</v>
      </c>
      <c r="II59" s="8">
        <v>1.2150935815641306E-2</v>
      </c>
      <c r="IJ59" s="8">
        <v>-7.0222118682979562E-2</v>
      </c>
      <c r="IK59" s="8">
        <v>1.4253907370333718E-2</v>
      </c>
      <c r="IL59" s="8">
        <v>-5.7050236871255766E-2</v>
      </c>
      <c r="IM59" s="8">
        <v>2.1958970144159928E-2</v>
      </c>
      <c r="IN59" s="8">
        <v>-7.8745185163003328E-3</v>
      </c>
      <c r="IO59" s="8">
        <v>3.278202470425301E-2</v>
      </c>
      <c r="IP59" s="8">
        <v>-2.735513099165221E-2</v>
      </c>
      <c r="IQ59" s="8">
        <v>-7.6500489799583016E-3</v>
      </c>
      <c r="IR59" s="8">
        <v>-2.2791093385011729E-2</v>
      </c>
      <c r="IS59" s="8">
        <v>-7.0342456649434393E-2</v>
      </c>
      <c r="IT59" s="8">
        <v>4.5111242568643295E-2</v>
      </c>
    </row>
    <row r="60" spans="1:254" s="11" customFormat="1" x14ac:dyDescent="0.2">
      <c r="A60" s="10"/>
      <c r="B60" s="12">
        <v>1.75</v>
      </c>
      <c r="C60" s="2">
        <f t="shared" si="43"/>
        <v>2.7030783256382061E-2</v>
      </c>
      <c r="D60" s="3">
        <f t="shared" si="44"/>
        <v>8.0412540099045027E-2</v>
      </c>
      <c r="E60" s="8">
        <v>-8.8315428894428338E-2</v>
      </c>
      <c r="F60" s="8">
        <v>-3.2163232968430655E-2</v>
      </c>
      <c r="G60" s="8">
        <v>6.189770428297714E-3</v>
      </c>
      <c r="H60" s="8">
        <v>4.6982711781174802E-2</v>
      </c>
      <c r="I60" s="8">
        <v>-2.1239026103401448E-2</v>
      </c>
      <c r="J60" s="8">
        <v>-3.9155170241373494E-2</v>
      </c>
      <c r="K60" s="8">
        <v>4.7638001068652902E-2</v>
      </c>
      <c r="L60" s="8">
        <v>8.4148419211743763E-2</v>
      </c>
      <c r="M60" s="8">
        <v>-8.4460925007437515E-2</v>
      </c>
      <c r="N60" s="8">
        <v>-6.0943996786182064E-2</v>
      </c>
      <c r="O60" s="8">
        <v>-2.0487020836831404E-2</v>
      </c>
      <c r="P60" s="8">
        <v>-4.6222169384284806E-2</v>
      </c>
      <c r="Q60" s="8">
        <v>6.0462988258521699E-3</v>
      </c>
      <c r="R60" s="8">
        <v>8.5703992818136898E-4</v>
      </c>
      <c r="S60" s="8">
        <v>-3.4607161688095023E-2</v>
      </c>
      <c r="T60" s="8">
        <v>-3.0158179827282749E-2</v>
      </c>
      <c r="U60" s="8">
        <v>-8.2185744086420542E-2</v>
      </c>
      <c r="V60" s="8">
        <v>-5.4637351105450982E-3</v>
      </c>
      <c r="W60" s="8">
        <v>7.9591801027611764E-2</v>
      </c>
      <c r="X60" s="8">
        <v>-1.1805994437154299E-2</v>
      </c>
      <c r="Y60" s="8">
        <v>-6.0194793107177236E-2</v>
      </c>
      <c r="Z60" s="8">
        <v>-0.13290625656433674</v>
      </c>
      <c r="AA60" s="8">
        <v>-2.3987002195774987E-3</v>
      </c>
      <c r="AB60" s="8">
        <v>6.9643479989234203E-2</v>
      </c>
      <c r="AC60" s="8">
        <v>-8.5145701990495981E-2</v>
      </c>
      <c r="AD60" s="8">
        <v>-6.1134240034656839E-2</v>
      </c>
      <c r="AE60" s="8">
        <v>4.2707190935147299E-2</v>
      </c>
      <c r="AF60" s="8">
        <v>-0.146167216810691</v>
      </c>
      <c r="AG60" s="8">
        <v>1.5802053090308965E-2</v>
      </c>
      <c r="AH60" s="8">
        <v>-2.5902462336197196E-2</v>
      </c>
      <c r="AI60" s="8">
        <v>1.3939819124791919E-3</v>
      </c>
      <c r="AJ60" s="8">
        <v>-4.9245573263590858E-2</v>
      </c>
      <c r="AK60" s="8">
        <v>-5.3226500556834422E-3</v>
      </c>
      <c r="AL60" s="8">
        <v>1.4395560973793964E-2</v>
      </c>
      <c r="AM60" s="8">
        <v>3.5834863715939913E-2</v>
      </c>
      <c r="AN60" s="8">
        <v>-1.7788113868979938E-2</v>
      </c>
      <c r="AO60" s="8">
        <v>-4.5399923619730331E-2</v>
      </c>
      <c r="AP60" s="8">
        <v>8.0412540099045027E-2</v>
      </c>
      <c r="AQ60" s="8">
        <v>-9.4078598491604493E-2</v>
      </c>
      <c r="AR60" s="8">
        <v>6.4605119329047389E-2</v>
      </c>
      <c r="AS60" s="8">
        <v>-2.7348356061020929E-2</v>
      </c>
      <c r="AT60" s="8">
        <v>-7.3373573060035446E-2</v>
      </c>
      <c r="AU60" s="8">
        <v>-5.785316662924006E-2</v>
      </c>
      <c r="AV60" s="8">
        <v>4.9445018984142775E-2</v>
      </c>
      <c r="AW60" s="8">
        <v>1.1863999493918476E-2</v>
      </c>
      <c r="AX60" s="8">
        <v>8.8047688806904778E-2</v>
      </c>
      <c r="AY60" s="8">
        <v>7.6187271921781319E-2</v>
      </c>
      <c r="AZ60" s="8">
        <v>-7.6018945846414443E-2</v>
      </c>
      <c r="BA60" s="8">
        <v>-0.1065233443152957</v>
      </c>
      <c r="BB60" s="8">
        <v>1.0726283949864301E-2</v>
      </c>
      <c r="BC60" s="8">
        <v>-7.0894459792281372E-2</v>
      </c>
      <c r="BD60" s="8">
        <v>0.10296355335923851</v>
      </c>
      <c r="BE60" s="8">
        <v>-2.3742696412665021E-2</v>
      </c>
      <c r="BF60" s="8">
        <v>-1.3380707600044395E-2</v>
      </c>
      <c r="BG60" s="8">
        <v>0.13774570863337732</v>
      </c>
      <c r="BH60" s="8">
        <v>-1.2703120437066451E-2</v>
      </c>
      <c r="BI60" s="8">
        <v>4.6341714905408338E-2</v>
      </c>
      <c r="BJ60" s="8">
        <v>-3.9599878804611688E-2</v>
      </c>
      <c r="BK60" s="8">
        <v>6.6484349263009224E-2</v>
      </c>
      <c r="BL60" s="8">
        <v>7.3628796819139031E-2</v>
      </c>
      <c r="BM60" s="8">
        <v>2.9856758863027799E-2</v>
      </c>
      <c r="BN60" s="8">
        <v>0.12359203877732877</v>
      </c>
      <c r="BO60" s="8">
        <v>-7.0207314489863892E-2</v>
      </c>
      <c r="BP60" s="8">
        <v>2.893776626283695E-2</v>
      </c>
      <c r="BQ60" s="8">
        <v>6.4934353693507141E-2</v>
      </c>
      <c r="BR60" s="8">
        <v>-3.3657966843131493E-2</v>
      </c>
      <c r="BS60" s="8">
        <v>7.5784210385335726E-2</v>
      </c>
      <c r="BT60" s="8">
        <v>-1.9336190634571704E-2</v>
      </c>
      <c r="BU60" s="8">
        <v>-1.2080390934961494E-2</v>
      </c>
      <c r="BV60" s="8">
        <v>0.11686038258003184</v>
      </c>
      <c r="BW60" s="8">
        <v>3.0191361814919437E-2</v>
      </c>
      <c r="BX60" s="8">
        <v>-3.4772383219102088E-2</v>
      </c>
      <c r="BY60" s="8">
        <v>4.6866505408757531E-2</v>
      </c>
      <c r="BZ60" s="8">
        <v>5.2992456739171245E-2</v>
      </c>
      <c r="CA60" s="8">
        <v>5.0989500891734929E-3</v>
      </c>
      <c r="CB60" s="8">
        <v>4.253144857820812E-2</v>
      </c>
      <c r="CC60" s="8">
        <v>1.3273956686143951E-4</v>
      </c>
      <c r="CD60" s="8">
        <v>0.12425535234441487</v>
      </c>
      <c r="CE60" s="8">
        <v>2.9013907193051469E-2</v>
      </c>
      <c r="CF60" s="8">
        <v>5.3344004574453763E-3</v>
      </c>
      <c r="CG60" s="8">
        <v>-4.0988796266369198E-2</v>
      </c>
      <c r="CH60" s="8">
        <v>8.0968165533934933E-2</v>
      </c>
      <c r="CI60" s="8">
        <v>-3.3849459067740062E-2</v>
      </c>
      <c r="CJ60" s="8">
        <v>3.6122697211946553E-2</v>
      </c>
      <c r="CK60" s="8">
        <v>-2.4473379060887479E-2</v>
      </c>
      <c r="CL60" s="8">
        <v>1.5802978717125493E-2</v>
      </c>
      <c r="CM60" s="8">
        <v>5.2633313620865652E-2</v>
      </c>
      <c r="CN60" s="8">
        <v>6.2394242484629214E-2</v>
      </c>
      <c r="CO60" s="8">
        <v>2.4441951198639345E-3</v>
      </c>
      <c r="CP60" s="8">
        <v>9.4912674182370815E-2</v>
      </c>
      <c r="CQ60" s="8">
        <v>1.474175913073078E-2</v>
      </c>
      <c r="CR60" s="8">
        <v>6.7974385938623927E-2</v>
      </c>
      <c r="CS60" s="8">
        <v>-3.7740937254233442E-2</v>
      </c>
      <c r="CT60" s="8">
        <v>-2.2430256928500092E-3</v>
      </c>
      <c r="CU60" s="8">
        <v>2.4470061368067064E-2</v>
      </c>
      <c r="CV60" s="8">
        <v>-7.7923495544601984E-2</v>
      </c>
      <c r="CW60" s="8">
        <v>9.6737479723063569E-4</v>
      </c>
      <c r="CX60" s="8">
        <v>-4.2479306347167789E-2</v>
      </c>
      <c r="CY60" s="8">
        <v>5.79368388094193E-2</v>
      </c>
      <c r="CZ60" s="8">
        <v>0.14309698533928206</v>
      </c>
      <c r="DA60" s="8">
        <v>6.5585619250626559E-3</v>
      </c>
      <c r="DB60" s="8">
        <v>-4.0707444739656817E-2</v>
      </c>
      <c r="DC60" s="8">
        <v>1.5036795526699898E-2</v>
      </c>
      <c r="DD60" s="8">
        <v>8.8682906946326301E-3</v>
      </c>
      <c r="DE60" s="8">
        <v>-3.9052544362847108E-2</v>
      </c>
      <c r="DF60" s="8">
        <v>7.4584192017173034E-2</v>
      </c>
      <c r="DG60" s="8">
        <v>-9.5488421274083968E-2</v>
      </c>
      <c r="DH60" s="8">
        <v>-3.9827738984008432E-2</v>
      </c>
      <c r="DI60" s="8">
        <v>2.8410781593461443E-3</v>
      </c>
      <c r="DJ60" s="8">
        <v>-2.9189232948894084E-3</v>
      </c>
      <c r="DK60" s="8">
        <v>4.9102027226864797E-2</v>
      </c>
      <c r="DL60" s="8">
        <v>-0.12173606480330945</v>
      </c>
      <c r="DM60" s="8">
        <v>-1.1244868049572476E-2</v>
      </c>
      <c r="DN60" s="8">
        <v>-7.585372307205418E-2</v>
      </c>
      <c r="DO60" s="8">
        <v>-1.3926702002937663E-2</v>
      </c>
      <c r="DP60" s="8">
        <v>6.7348498698819537E-2</v>
      </c>
      <c r="DQ60" s="8">
        <v>1.9361780058135047E-2</v>
      </c>
      <c r="DR60" s="8">
        <v>1.7551973459694559E-2</v>
      </c>
      <c r="DS60" s="8">
        <v>0.16806546032483582</v>
      </c>
      <c r="DT60" s="8">
        <v>9.3086877636612497E-2</v>
      </c>
      <c r="DU60" s="8">
        <v>-5.8453731468596004E-2</v>
      </c>
      <c r="DV60" s="8">
        <v>2.9238272978600377E-2</v>
      </c>
      <c r="DW60" s="8">
        <v>-5.9664262254716938E-2</v>
      </c>
      <c r="DX60" s="8">
        <v>-4.0860074643985278E-2</v>
      </c>
      <c r="DY60" s="8">
        <v>5.4946697088593122E-3</v>
      </c>
      <c r="DZ60" s="8">
        <v>-2.9896709660936938E-2</v>
      </c>
      <c r="EA60" s="8">
        <v>-3.5036435190103188E-2</v>
      </c>
      <c r="EB60" s="8">
        <v>-5.4306919003470067E-3</v>
      </c>
      <c r="EC60" s="8">
        <v>7.354670002163588E-2</v>
      </c>
      <c r="ED60" s="8">
        <v>0.10463854685390495</v>
      </c>
      <c r="EE60" s="8">
        <v>-8.3886990573400766E-4</v>
      </c>
      <c r="EF60" s="8">
        <v>-1.2576541333656432E-2</v>
      </c>
      <c r="EG60" s="8">
        <v>4.2741408795081148E-3</v>
      </c>
      <c r="EH60" s="8">
        <v>2.0283997069941495E-2</v>
      </c>
      <c r="EI60" s="8">
        <v>-0.12578240914173544</v>
      </c>
      <c r="EJ60" s="8">
        <v>1.2630446934308592E-3</v>
      </c>
      <c r="EK60" s="8">
        <v>-3.4912919826877387E-2</v>
      </c>
      <c r="EL60" s="8">
        <v>5.6177876536998017E-3</v>
      </c>
      <c r="EM60" s="8">
        <v>-2.8305431652234092E-3</v>
      </c>
      <c r="EN60" s="8">
        <v>-2.4318472982611361E-2</v>
      </c>
      <c r="EO60" s="8">
        <v>5.9278032859728491E-2</v>
      </c>
      <c r="EP60" s="8">
        <v>1.4561605337479133E-2</v>
      </c>
      <c r="EQ60" s="8">
        <v>3.4085141362714955E-2</v>
      </c>
      <c r="ER60" s="8">
        <v>3.6198062208107284E-2</v>
      </c>
      <c r="ES60" s="8">
        <v>5.761990819216134E-3</v>
      </c>
      <c r="ET60" s="8">
        <v>1.7017706314370606E-4</v>
      </c>
      <c r="EU60" s="8">
        <v>1.6339866466689168E-2</v>
      </c>
      <c r="EV60" s="8">
        <v>-1.6292149265114242E-2</v>
      </c>
      <c r="EW60" s="8">
        <v>5.0140725113019868E-2</v>
      </c>
      <c r="EX60" s="8">
        <v>2.7181948344735585E-2</v>
      </c>
      <c r="EY60" s="8">
        <v>6.0183641587675085E-2</v>
      </c>
      <c r="EZ60" s="8">
        <v>-2.6776498253006042E-2</v>
      </c>
      <c r="FA60" s="8">
        <v>-8.3202161983420009E-3</v>
      </c>
      <c r="FB60" s="8">
        <v>2.893170143706647E-2</v>
      </c>
      <c r="FC60" s="8">
        <v>-6.1828744335350017E-2</v>
      </c>
      <c r="FD60" s="8">
        <v>-5.9051705074423033E-2</v>
      </c>
      <c r="FE60" s="8">
        <v>-5.4610204005457408E-2</v>
      </c>
      <c r="FF60" s="8">
        <v>4.4870635402233627E-2</v>
      </c>
      <c r="FG60" s="8">
        <v>1.0461785189464723E-2</v>
      </c>
      <c r="FH60" s="8">
        <v>6.9680592790874074E-2</v>
      </c>
      <c r="FI60" s="8">
        <v>3.5004297260217643E-2</v>
      </c>
      <c r="FJ60" s="8">
        <v>-2.2788235882543861E-2</v>
      </c>
      <c r="FK60" s="8">
        <v>3.1554125988516812E-2</v>
      </c>
      <c r="FL60" s="8">
        <v>3.4856808485919655E-2</v>
      </c>
      <c r="FM60" s="8">
        <v>4.3674724233732976E-2</v>
      </c>
      <c r="FN60" s="8">
        <v>-1.244133520303764E-2</v>
      </c>
      <c r="FO60" s="8">
        <v>4.7292256795748611E-2</v>
      </c>
      <c r="FP60" s="8">
        <v>5.9752555168224364E-2</v>
      </c>
      <c r="FQ60" s="8">
        <v>-1.6418426740231196E-3</v>
      </c>
      <c r="FR60" s="8">
        <v>-3.2042544656111116E-2</v>
      </c>
      <c r="FS60" s="8">
        <v>-7.024563432150055E-2</v>
      </c>
      <c r="FT60" s="8">
        <v>-3.0617148852692566E-2</v>
      </c>
      <c r="FU60" s="8">
        <v>6.0250829837718012E-3</v>
      </c>
      <c r="FV60" s="8">
        <v>3.6958773120880584E-2</v>
      </c>
      <c r="FW60" s="8">
        <v>7.2829738783126929E-2</v>
      </c>
      <c r="FX60" s="8">
        <v>4.2900485618319051E-4</v>
      </c>
      <c r="FY60" s="8">
        <v>-2.4626084520324998E-3</v>
      </c>
      <c r="FZ60" s="8">
        <v>8.7788825958583783E-2</v>
      </c>
      <c r="GA60" s="8">
        <v>-0.15199955648786578</v>
      </c>
      <c r="GB60" s="8">
        <v>0.10126187800410541</v>
      </c>
      <c r="GC60" s="8">
        <v>-5.7824967974795194E-2</v>
      </c>
      <c r="GD60" s="8">
        <v>4.4125892395838251E-2</v>
      </c>
      <c r="GE60" s="8">
        <v>3.3836975219693588E-2</v>
      </c>
      <c r="GF60" s="8">
        <v>7.9195891458350154E-3</v>
      </c>
      <c r="GG60" s="8">
        <v>2.0566758788602313E-2</v>
      </c>
      <c r="GH60" s="8">
        <v>-4.7984611204073158E-2</v>
      </c>
      <c r="GI60" s="8">
        <v>5.2320877488006678E-2</v>
      </c>
      <c r="GJ60" s="8">
        <v>-9.8525402403200624E-3</v>
      </c>
      <c r="GK60" s="8">
        <v>2.3415921707691301E-2</v>
      </c>
      <c r="GL60" s="8">
        <v>-6.555134494758974E-3</v>
      </c>
      <c r="GM60" s="8">
        <v>-4.9450807962714727E-2</v>
      </c>
      <c r="GN60" s="8">
        <v>0.13902013130857416</v>
      </c>
      <c r="GO60" s="8">
        <v>-8.3566944570001578E-4</v>
      </c>
      <c r="GP60" s="8">
        <v>-5.7031572300977273E-2</v>
      </c>
      <c r="GQ60" s="8">
        <v>-6.1743838192992562E-2</v>
      </c>
      <c r="GR60" s="8">
        <v>-1.4577762329205379E-3</v>
      </c>
      <c r="GS60" s="8">
        <v>7.5462000899417792E-5</v>
      </c>
      <c r="GT60" s="8">
        <v>-1.7962368843971177E-2</v>
      </c>
      <c r="GU60" s="8">
        <v>-3.2683807751879956E-2</v>
      </c>
      <c r="GV60" s="8">
        <v>-1.7229067805863807E-2</v>
      </c>
      <c r="GW60" s="8">
        <v>1.0425962863802707E-2</v>
      </c>
      <c r="GX60" s="8">
        <v>0.13016922911775147</v>
      </c>
      <c r="GY60" s="8">
        <v>7.9075568057608847E-3</v>
      </c>
      <c r="GZ60" s="8">
        <v>-5.2655418725626957E-2</v>
      </c>
      <c r="HA60" s="8">
        <v>6.7079589265442996E-3</v>
      </c>
      <c r="HB60" s="8">
        <v>4.5528458736742439E-2</v>
      </c>
      <c r="HC60" s="8">
        <v>-7.371813007589656E-3</v>
      </c>
      <c r="HD60" s="8">
        <v>9.6797365174283168E-3</v>
      </c>
      <c r="HE60" s="8">
        <v>-1.4622321567986929E-3</v>
      </c>
      <c r="HF60" s="8">
        <v>5.5435645562674774E-3</v>
      </c>
      <c r="HG60" s="8">
        <v>0.10577395246534715</v>
      </c>
      <c r="HH60" s="8">
        <v>0.18909152335424295</v>
      </c>
      <c r="HI60" s="8">
        <v>-5.1383192114487219E-2</v>
      </c>
      <c r="HJ60" s="8">
        <v>-5.6565207231108694E-2</v>
      </c>
      <c r="HK60" s="8">
        <v>-2.7007825349063874E-2</v>
      </c>
      <c r="HL60" s="8">
        <v>1.3654614513429864E-2</v>
      </c>
      <c r="HM60" s="8">
        <v>3.2152301430617702E-2</v>
      </c>
      <c r="HN60" s="8">
        <v>3.436995912887103E-2</v>
      </c>
      <c r="HO60" s="8">
        <v>0.12936092615105393</v>
      </c>
      <c r="HP60" s="8">
        <v>5.7108625390927537E-3</v>
      </c>
      <c r="HQ60" s="8">
        <v>-4.9656836616248645E-3</v>
      </c>
      <c r="HR60" s="8">
        <v>-1.0286469600919279E-2</v>
      </c>
      <c r="HS60" s="8">
        <v>0.14187001030779067</v>
      </c>
      <c r="HT60" s="8">
        <v>0.10585195128771802</v>
      </c>
      <c r="HU60" s="8">
        <v>0.14322289073900524</v>
      </c>
      <c r="HV60" s="8">
        <v>-9.2543081453713705E-3</v>
      </c>
      <c r="HW60" s="8">
        <v>0.24367928860225196</v>
      </c>
      <c r="HX60" s="8">
        <v>5.5757227293233069E-2</v>
      </c>
      <c r="HY60" s="8">
        <v>4.6123295672392539E-2</v>
      </c>
      <c r="HZ60" s="8">
        <v>-6.8056312695269794E-2</v>
      </c>
      <c r="IA60" s="8">
        <v>7.3749116633174072E-2</v>
      </c>
      <c r="IB60" s="8">
        <v>7.5405700499351247E-2</v>
      </c>
      <c r="IC60" s="8">
        <v>-6.1379607030986216E-2</v>
      </c>
      <c r="ID60" s="8">
        <v>-3.8290894600724323E-3</v>
      </c>
      <c r="IE60" s="8">
        <v>4.164644921494487E-3</v>
      </c>
      <c r="IF60" s="8">
        <v>-7.1286353249974788E-2</v>
      </c>
      <c r="IG60" s="8">
        <v>0.18019881326042808</v>
      </c>
      <c r="IH60" s="8">
        <v>-0.12140944619969107</v>
      </c>
      <c r="II60" s="8">
        <v>3.2664976055099715E-2</v>
      </c>
      <c r="IJ60" s="8">
        <v>-9.6745144959014984E-2</v>
      </c>
      <c r="IK60" s="8">
        <v>2.6778974007332201E-2</v>
      </c>
      <c r="IL60" s="8">
        <v>-5.5266878078365944E-2</v>
      </c>
      <c r="IM60" s="8">
        <v>-3.6938302979842741E-2</v>
      </c>
      <c r="IN60" s="8">
        <v>-1.1645905461080852E-2</v>
      </c>
      <c r="IO60" s="8">
        <v>4.1129434562005351E-2</v>
      </c>
      <c r="IP60" s="8">
        <v>-3.645018578987913E-2</v>
      </c>
      <c r="IQ60" s="8">
        <v>1.1524244997824729E-2</v>
      </c>
      <c r="IR60" s="8">
        <v>-5.0143763830275356E-2</v>
      </c>
      <c r="IS60" s="8">
        <v>-8.4536804206827854E-2</v>
      </c>
      <c r="IT60" s="8">
        <v>5.5648833424246869E-2</v>
      </c>
    </row>
    <row r="61" spans="1:254" s="11" customFormat="1" x14ac:dyDescent="0.2">
      <c r="A61" s="10"/>
      <c r="B61" s="12">
        <v>2</v>
      </c>
      <c r="C61" s="2">
        <f t="shared" si="43"/>
        <v>2.7542503669196174E-2</v>
      </c>
      <c r="D61" s="3">
        <f t="shared" si="44"/>
        <v>7.5652120716848681E-2</v>
      </c>
      <c r="E61" s="8">
        <v>-0.12435499768008462</v>
      </c>
      <c r="F61" s="8">
        <v>-5.1913298313251977E-3</v>
      </c>
      <c r="G61" s="8">
        <v>4.3326940183884277E-2</v>
      </c>
      <c r="H61" s="8">
        <v>4.2872687263488085E-2</v>
      </c>
      <c r="I61" s="8">
        <v>2.2576541103491721E-4</v>
      </c>
      <c r="J61" s="8">
        <v>-2.7612313742842898E-2</v>
      </c>
      <c r="K61" s="8">
        <v>5.1969493627233354E-2</v>
      </c>
      <c r="L61" s="8">
        <v>7.5652120716848681E-2</v>
      </c>
      <c r="M61" s="8">
        <v>-0.10195458537995683</v>
      </c>
      <c r="N61" s="8">
        <v>-5.9346523606010115E-2</v>
      </c>
      <c r="O61" s="8">
        <v>-6.5707720635509004E-2</v>
      </c>
      <c r="P61" s="8">
        <v>-5.1535597635643748E-2</v>
      </c>
      <c r="Q61" s="8">
        <v>1.9959819245707666E-2</v>
      </c>
      <c r="R61" s="8">
        <v>-8.2412375556180084E-3</v>
      </c>
      <c r="S61" s="8">
        <v>-3.4504975267771854E-2</v>
      </c>
      <c r="T61" s="8">
        <v>-2.4533319722605806E-2</v>
      </c>
      <c r="U61" s="8">
        <v>-6.1119698488195373E-2</v>
      </c>
      <c r="V61" s="8">
        <v>3.6415321504190301E-2</v>
      </c>
      <c r="W61" s="8">
        <v>4.9373014568907747E-2</v>
      </c>
      <c r="X61" s="8">
        <v>-4.5193483793680433E-2</v>
      </c>
      <c r="Y61" s="8">
        <v>-5.5501163522075458E-2</v>
      </c>
      <c r="Z61" s="8">
        <v>-0.16118532130051111</v>
      </c>
      <c r="AA61" s="8">
        <v>9.5676743099367689E-3</v>
      </c>
      <c r="AB61" s="8">
        <v>4.8813200719780792E-2</v>
      </c>
      <c r="AC61" s="8">
        <v>-6.9911292958843796E-2</v>
      </c>
      <c r="AD61" s="8">
        <v>-6.7127253319221425E-2</v>
      </c>
      <c r="AE61" s="8">
        <v>9.0578029878223332E-2</v>
      </c>
      <c r="AF61" s="8">
        <v>-0.15259128433295938</v>
      </c>
      <c r="AG61" s="8">
        <v>-3.9532818685790172E-3</v>
      </c>
      <c r="AH61" s="8">
        <v>1.843065420501222E-3</v>
      </c>
      <c r="AI61" s="8">
        <v>-2.5604872047612359E-2</v>
      </c>
      <c r="AJ61" s="8">
        <v>-7.9123598996932998E-4</v>
      </c>
      <c r="AK61" s="8">
        <v>-9.9864565517732151E-3</v>
      </c>
      <c r="AL61" s="8">
        <v>2.0621084216050911E-3</v>
      </c>
      <c r="AM61" s="8">
        <v>4.666890235840726E-2</v>
      </c>
      <c r="AN61" s="8">
        <v>2.7160477460738464E-2</v>
      </c>
      <c r="AO61" s="8">
        <v>-2.8837055063184347E-2</v>
      </c>
      <c r="AP61" s="8">
        <v>6.0811304829038126E-2</v>
      </c>
      <c r="AQ61" s="8">
        <v>-7.7793191774325421E-2</v>
      </c>
      <c r="AR61" s="8">
        <v>2.6114299849540612E-2</v>
      </c>
      <c r="AS61" s="8">
        <v>1.1448958326573666E-3</v>
      </c>
      <c r="AT61" s="8">
        <v>-5.3117673354694361E-2</v>
      </c>
      <c r="AU61" s="8">
        <v>-4.1332494248737583E-2</v>
      </c>
      <c r="AV61" s="8">
        <v>3.6957527574360882E-2</v>
      </c>
      <c r="AW61" s="8">
        <v>-1.6574332116327584E-2</v>
      </c>
      <c r="AX61" s="8">
        <v>6.1081013641488768E-2</v>
      </c>
      <c r="AY61" s="8">
        <v>5.3769273927079031E-2</v>
      </c>
      <c r="AZ61" s="8">
        <v>-9.502347963520047E-2</v>
      </c>
      <c r="BA61" s="8">
        <v>-0.10814208782330975</v>
      </c>
      <c r="BB61" s="8">
        <v>6.3267555110405604E-2</v>
      </c>
      <c r="BC61" s="8">
        <v>-8.283086307576476E-2</v>
      </c>
      <c r="BD61" s="8">
        <v>6.5777182235902343E-2</v>
      </c>
      <c r="BE61" s="8">
        <v>6.0410508397865548E-2</v>
      </c>
      <c r="BF61" s="8">
        <v>1.9294749383439558E-2</v>
      </c>
      <c r="BG61" s="8">
        <v>0.13806835238386928</v>
      </c>
      <c r="BH61" s="8">
        <v>-4.7700778820608969E-2</v>
      </c>
      <c r="BI61" s="8">
        <v>2.0128965458747539E-2</v>
      </c>
      <c r="BJ61" s="8">
        <v>-6.2786404495938641E-2</v>
      </c>
      <c r="BK61" s="8">
        <v>3.9567741620015862E-2</v>
      </c>
      <c r="BL61" s="8">
        <v>8.3220794963183464E-2</v>
      </c>
      <c r="BM61" s="8">
        <v>5.6297575772052855E-2</v>
      </c>
      <c r="BN61" s="8">
        <v>0.11909080241716624</v>
      </c>
      <c r="BO61" s="8">
        <v>-8.7491044133172324E-2</v>
      </c>
      <c r="BP61" s="8">
        <v>5.847500235920694E-2</v>
      </c>
      <c r="BQ61" s="8">
        <v>8.4212729471967784E-2</v>
      </c>
      <c r="BR61" s="8">
        <v>-2.9057018715221539E-2</v>
      </c>
      <c r="BS61" s="8">
        <v>2.2397982545280359E-2</v>
      </c>
      <c r="BT61" s="8">
        <v>-5.5355637323558082E-3</v>
      </c>
      <c r="BU61" s="8">
        <v>1.2289067278765664E-2</v>
      </c>
      <c r="BV61" s="8">
        <v>0.10163327246292042</v>
      </c>
      <c r="BW61" s="8">
        <v>3.9637621149333502E-2</v>
      </c>
      <c r="BX61" s="8">
        <v>-3.8036635411029196E-2</v>
      </c>
      <c r="BY61" s="8">
        <v>3.9371188390699974E-3</v>
      </c>
      <c r="BZ61" s="8">
        <v>-5.9077395428266399E-3</v>
      </c>
      <c r="CA61" s="8">
        <v>-6.8467861163597488E-3</v>
      </c>
      <c r="CB61" s="8">
        <v>7.4029413934527499E-2</v>
      </c>
      <c r="CC61" s="8">
        <v>-6.1952423495506559E-3</v>
      </c>
      <c r="CD61" s="8">
        <v>0.1495318809160282</v>
      </c>
      <c r="CE61" s="8">
        <v>5.215062784667257E-2</v>
      </c>
      <c r="CF61" s="8">
        <v>-1.0176429182414182E-2</v>
      </c>
      <c r="CG61" s="8">
        <v>-3.8849156804213192E-3</v>
      </c>
      <c r="CH61" s="8">
        <v>7.1110363588965719E-2</v>
      </c>
      <c r="CI61" s="8">
        <v>-5.2538879581761344E-2</v>
      </c>
      <c r="CJ61" s="8">
        <v>9.290300380497829E-3</v>
      </c>
      <c r="CK61" s="8">
        <v>-1.3943094003699419E-2</v>
      </c>
      <c r="CL61" s="8">
        <v>-4.5634143096312529E-4</v>
      </c>
      <c r="CM61" s="8">
        <v>6.9671920140578492E-2</v>
      </c>
      <c r="CN61" s="8">
        <v>6.1276166256775622E-2</v>
      </c>
      <c r="CO61" s="8">
        <v>-1.8948910877175262E-2</v>
      </c>
      <c r="CP61" s="8">
        <v>0.11596626352531048</v>
      </c>
      <c r="CQ61" s="8">
        <v>2.604194197629256E-2</v>
      </c>
      <c r="CR61" s="8">
        <v>3.0913589070984127E-2</v>
      </c>
      <c r="CS61" s="8">
        <v>-6.9107099365108005E-2</v>
      </c>
      <c r="CT61" s="8">
        <v>-2.9663521154398853E-2</v>
      </c>
      <c r="CU61" s="8">
        <v>-2.922783371292148E-3</v>
      </c>
      <c r="CV61" s="8">
        <v>-7.4299350385449159E-2</v>
      </c>
      <c r="CW61" s="8">
        <v>2.686986977007938E-2</v>
      </c>
      <c r="CX61" s="8">
        <v>-1.293448203811054E-2</v>
      </c>
      <c r="CY61" s="8">
        <v>6.644059042407835E-2</v>
      </c>
      <c r="CZ61" s="8">
        <v>9.9225171986362881E-2</v>
      </c>
      <c r="DA61" s="8">
        <v>1.3007976155889833E-2</v>
      </c>
      <c r="DB61" s="8">
        <v>-1.5322883079722127E-2</v>
      </c>
      <c r="DC61" s="8">
        <v>-1.2270474127037301E-2</v>
      </c>
      <c r="DD61" s="8">
        <v>-2.142023192489817E-2</v>
      </c>
      <c r="DE61" s="8">
        <v>-1.698108358081557E-2</v>
      </c>
      <c r="DF61" s="8">
        <v>5.9470809305464112E-2</v>
      </c>
      <c r="DG61" s="8">
        <v>-0.10443178704095613</v>
      </c>
      <c r="DH61" s="8">
        <v>-2.7993078906312197E-2</v>
      </c>
      <c r="DI61" s="8">
        <v>-1.1001701574214762E-2</v>
      </c>
      <c r="DJ61" s="8">
        <v>5.7603647754535636E-2</v>
      </c>
      <c r="DK61" s="8">
        <v>4.7745162122170393E-2</v>
      </c>
      <c r="DL61" s="8">
        <v>-0.14889293142831822</v>
      </c>
      <c r="DM61" s="8">
        <v>3.9082067715451974E-2</v>
      </c>
      <c r="DN61" s="8">
        <v>-5.6434359293588865E-2</v>
      </c>
      <c r="DO61" s="8">
        <v>-2.8535097425924194E-2</v>
      </c>
      <c r="DP61" s="8">
        <v>0.10250725711372699</v>
      </c>
      <c r="DQ61" s="8">
        <v>6.0071039726061204E-3</v>
      </c>
      <c r="DR61" s="8">
        <v>2.7907546705644215E-2</v>
      </c>
      <c r="DS61" s="8">
        <v>0.18061651373349269</v>
      </c>
      <c r="DT61" s="8">
        <v>7.3721585567090631E-2</v>
      </c>
      <c r="DU61" s="8">
        <v>-4.1410861678255972E-2</v>
      </c>
      <c r="DV61" s="8">
        <v>4.2081468084093077E-2</v>
      </c>
      <c r="DW61" s="8">
        <v>-6.6275609173075567E-2</v>
      </c>
      <c r="DX61" s="8">
        <v>-4.2378978384922827E-2</v>
      </c>
      <c r="DY61" s="8">
        <v>2.2230525852686478E-2</v>
      </c>
      <c r="DZ61" s="8">
        <v>-4.1110386557249023E-2</v>
      </c>
      <c r="EA61" s="8">
        <v>3.5844596678502039E-3</v>
      </c>
      <c r="EB61" s="8">
        <v>-2.1547464683634387E-2</v>
      </c>
      <c r="EC61" s="8">
        <v>0.10094328889613036</v>
      </c>
      <c r="ED61" s="8">
        <v>7.8356562020690579E-2</v>
      </c>
      <c r="EE61" s="8">
        <v>1.3111864038137466E-2</v>
      </c>
      <c r="EF61" s="8">
        <v>-6.4834695795978892E-3</v>
      </c>
      <c r="EG61" s="8">
        <v>-3.29876600312905E-2</v>
      </c>
      <c r="EH61" s="8">
        <v>2.6425588029869329E-2</v>
      </c>
      <c r="EI61" s="8">
        <v>-0.11815964687673941</v>
      </c>
      <c r="EJ61" s="8">
        <v>2.0125941877841003E-3</v>
      </c>
      <c r="EK61" s="8">
        <v>-2.1837323364530037E-2</v>
      </c>
      <c r="EL61" s="8">
        <v>4.1830125618815495E-2</v>
      </c>
      <c r="EM61" s="8">
        <v>-2.2094544720853926E-2</v>
      </c>
      <c r="EN61" s="8">
        <v>-3.9578451633978384E-2</v>
      </c>
      <c r="EO61" s="8">
        <v>4.1098436041431485E-2</v>
      </c>
      <c r="EP61" s="8">
        <v>-3.3993257384882014E-2</v>
      </c>
      <c r="EQ61" s="8">
        <v>6.5029223649125278E-2</v>
      </c>
      <c r="ER61" s="8">
        <v>5.0643199494039115E-2</v>
      </c>
      <c r="ES61" s="8">
        <v>7.5329909588563948E-2</v>
      </c>
      <c r="ET61" s="8">
        <v>2.449637014675804E-2</v>
      </c>
      <c r="EU61" s="8">
        <v>1.244727723574085E-2</v>
      </c>
      <c r="EV61" s="8">
        <v>-5.3323166828940782E-3</v>
      </c>
      <c r="EW61" s="8">
        <v>3.3623892004624623E-2</v>
      </c>
      <c r="EX61" s="8">
        <v>5.1862514043162444E-2</v>
      </c>
      <c r="EY61" s="8">
        <v>5.7605534343783127E-2</v>
      </c>
      <c r="EZ61" s="8">
        <v>-3.5617995896623955E-2</v>
      </c>
      <c r="FA61" s="8">
        <v>-2.2807009797115307E-2</v>
      </c>
      <c r="FB61" s="8">
        <v>5.5840855156734648E-2</v>
      </c>
      <c r="FC61" s="8">
        <v>-7.943490442643053E-2</v>
      </c>
      <c r="FD61" s="8">
        <v>-4.2166465806313114E-2</v>
      </c>
      <c r="FE61" s="8">
        <v>-7.3511897289332773E-2</v>
      </c>
      <c r="FF61" s="8">
        <v>4.7113377636604281E-2</v>
      </c>
      <c r="FG61" s="8">
        <v>2.2094047285324936E-2</v>
      </c>
      <c r="FH61" s="8">
        <v>6.6248763275114086E-2</v>
      </c>
      <c r="FI61" s="8">
        <v>5.9789371914222844E-2</v>
      </c>
      <c r="FJ61" s="8">
        <v>-4.4122303046515099E-2</v>
      </c>
      <c r="FK61" s="8">
        <v>1.6030754190709873E-2</v>
      </c>
      <c r="FL61" s="8">
        <v>4.7214245261617271E-2</v>
      </c>
      <c r="FM61" s="8">
        <v>8.1679909058004652E-2</v>
      </c>
      <c r="FN61" s="8">
        <v>-6.1119571961607277E-2</v>
      </c>
      <c r="FO61" s="8">
        <v>4.6241150042370227E-2</v>
      </c>
      <c r="FP61" s="8">
        <v>4.3066019918063414E-2</v>
      </c>
      <c r="FQ61" s="8">
        <v>-2.0331221469530425E-2</v>
      </c>
      <c r="FR61" s="8">
        <v>-2.5459000281263355E-2</v>
      </c>
      <c r="FS61" s="8">
        <v>-7.5647147757498867E-2</v>
      </c>
      <c r="FT61" s="8">
        <v>-5.0303864388279274E-2</v>
      </c>
      <c r="FU61" s="8">
        <v>-4.0239088633966413E-2</v>
      </c>
      <c r="FV61" s="8">
        <v>4.6130614097156908E-2</v>
      </c>
      <c r="FW61" s="8">
        <v>4.1159748468210577E-2</v>
      </c>
      <c r="FX61" s="8">
        <v>-2.7155702504856438E-2</v>
      </c>
      <c r="FY61" s="8">
        <v>-2.4668533770325518E-2</v>
      </c>
      <c r="FZ61" s="8">
        <v>0.10137461194176151</v>
      </c>
      <c r="GA61" s="8">
        <v>-0.15326048094262151</v>
      </c>
      <c r="GB61" s="8">
        <v>8.6185630149520465E-2</v>
      </c>
      <c r="GC61" s="8">
        <v>-8.735817298431664E-2</v>
      </c>
      <c r="GD61" s="8">
        <v>-1.2348856506275152E-3</v>
      </c>
      <c r="GE61" s="8">
        <v>4.7327154221781131E-2</v>
      </c>
      <c r="GF61" s="8">
        <v>9.2066573829787113E-3</v>
      </c>
      <c r="GG61" s="8">
        <v>-2.4490396765051159E-3</v>
      </c>
      <c r="GH61" s="8">
        <v>-4.5262951338851776E-2</v>
      </c>
      <c r="GI61" s="8">
        <v>-9.0940931415872672E-5</v>
      </c>
      <c r="GJ61" s="8">
        <v>1.2716532830272576E-2</v>
      </c>
      <c r="GK61" s="8">
        <v>5.201354560636412E-2</v>
      </c>
      <c r="GL61" s="8">
        <v>-1.2254028680592832E-2</v>
      </c>
      <c r="GM61" s="8">
        <v>-4.4762440626658295E-2</v>
      </c>
      <c r="GN61" s="8">
        <v>0.11762383672808713</v>
      </c>
      <c r="GO61" s="8">
        <v>3.3335654578514229E-2</v>
      </c>
      <c r="GP61" s="8">
        <v>-2.5603164540333789E-2</v>
      </c>
      <c r="GQ61" s="8">
        <v>-6.6154862645044166E-2</v>
      </c>
      <c r="GR61" s="8">
        <v>3.6634754462474051E-2</v>
      </c>
      <c r="GS61" s="8">
        <v>1.973343436921049E-2</v>
      </c>
      <c r="GT61" s="8">
        <v>-2.7679902934970191E-2</v>
      </c>
      <c r="GU61" s="8">
        <v>-1.5774833025503532E-2</v>
      </c>
      <c r="GV61" s="8">
        <v>-8.1641759900078492E-3</v>
      </c>
      <c r="GW61" s="8">
        <v>-2.5151062482029529E-2</v>
      </c>
      <c r="GX61" s="8">
        <v>0.11657811756344222</v>
      </c>
      <c r="GY61" s="8">
        <v>2.2424323725474538E-2</v>
      </c>
      <c r="GZ61" s="8">
        <v>-0.10204146436298545</v>
      </c>
      <c r="HA61" s="8">
        <v>-3.8586944096114517E-3</v>
      </c>
      <c r="HB61" s="8">
        <v>6.6308863116896322E-2</v>
      </c>
      <c r="HC61" s="8">
        <v>-1.1159738571237587E-2</v>
      </c>
      <c r="HD61" s="8">
        <v>8.2372699391020099E-4</v>
      </c>
      <c r="HE61" s="8">
        <v>1.3347300292888054E-2</v>
      </c>
      <c r="HF61" s="8">
        <v>-3.1100097685905714E-2</v>
      </c>
      <c r="HG61" s="8">
        <v>5.2579292068737349E-2</v>
      </c>
      <c r="HH61" s="8">
        <v>0.1301567510905336</v>
      </c>
      <c r="HI61" s="8">
        <v>-4.3188349768943368E-2</v>
      </c>
      <c r="HJ61" s="8">
        <v>-7.1655681989347131E-2</v>
      </c>
      <c r="HK61" s="8">
        <v>-1.6609368261349178E-2</v>
      </c>
      <c r="HL61" s="8">
        <v>-3.3441821180990594E-3</v>
      </c>
      <c r="HM61" s="8">
        <v>3.5540663520670646E-2</v>
      </c>
      <c r="HN61" s="8">
        <v>2.5809206401451068E-2</v>
      </c>
      <c r="HO61" s="8">
        <v>0.12059630998840426</v>
      </c>
      <c r="HP61" s="8">
        <v>1.7219654647527116E-2</v>
      </c>
      <c r="HQ61" s="8">
        <v>-3.0883576053260253E-2</v>
      </c>
      <c r="HR61" s="8">
        <v>2.2245919929334723E-2</v>
      </c>
      <c r="HS61" s="8">
        <v>0.10808038674308634</v>
      </c>
      <c r="HT61" s="8">
        <v>7.1827915891627292E-2</v>
      </c>
      <c r="HU61" s="8">
        <v>0.13993057157654659</v>
      </c>
      <c r="HV61" s="8">
        <v>-2.8058734166712673E-3</v>
      </c>
      <c r="HW61" s="8">
        <v>0.21947704869406998</v>
      </c>
      <c r="HX61" s="8">
        <v>7.178930794857602E-2</v>
      </c>
      <c r="HY61" s="8">
        <v>5.8068297113987866E-2</v>
      </c>
      <c r="HZ61" s="8">
        <v>-0.10686585170729646</v>
      </c>
      <c r="IA61" s="8">
        <v>4.2848069678931677E-2</v>
      </c>
      <c r="IB61" s="8">
        <v>3.6042881943819882E-2</v>
      </c>
      <c r="IC61" s="8">
        <v>-6.3268650610810606E-2</v>
      </c>
      <c r="ID61" s="8">
        <v>6.9240524820483595E-3</v>
      </c>
      <c r="IE61" s="8">
        <v>1.1720337202508591E-2</v>
      </c>
      <c r="IF61" s="8">
        <v>-7.2188717595992713E-2</v>
      </c>
      <c r="IG61" s="8">
        <v>0.21226364602814896</v>
      </c>
      <c r="IH61" s="8">
        <v>-0.12410097861895802</v>
      </c>
      <c r="II61" s="8">
        <v>8.813162530297447E-2</v>
      </c>
      <c r="IJ61" s="8">
        <v>-7.4828753350970945E-2</v>
      </c>
      <c r="IK61" s="8">
        <v>5.1590830386118003E-2</v>
      </c>
      <c r="IL61" s="8">
        <v>-3.3733339879885749E-2</v>
      </c>
      <c r="IM61" s="8">
        <v>-1.6303026364435924E-2</v>
      </c>
      <c r="IN61" s="8">
        <v>2.7714571563796309E-2</v>
      </c>
      <c r="IO61" s="8">
        <v>4.9033062136050187E-4</v>
      </c>
      <c r="IP61" s="8">
        <v>-1.6148768480364561E-2</v>
      </c>
      <c r="IQ61" s="8">
        <v>2.8227387161538386E-2</v>
      </c>
      <c r="IR61" s="8">
        <v>-9.3927095740671762E-2</v>
      </c>
      <c r="IS61" s="8">
        <v>-5.5775358383526097E-2</v>
      </c>
      <c r="IT61" s="8">
        <v>2.1133297545175789E-2</v>
      </c>
    </row>
    <row r="62" spans="1:254" s="11" customFormat="1" x14ac:dyDescent="0.2">
      <c r="A62" s="10"/>
      <c r="B62" s="12">
        <v>2.25</v>
      </c>
      <c r="C62" s="2">
        <f t="shared" si="43"/>
        <v>2.8530170972055399E-2</v>
      </c>
      <c r="D62" s="3">
        <f t="shared" si="44"/>
        <v>8.6286666118993494E-2</v>
      </c>
      <c r="E62" s="8">
        <v>-0.17523022016667034</v>
      </c>
      <c r="F62" s="8">
        <v>-3.990764590603546E-2</v>
      </c>
      <c r="G62" s="8">
        <v>7.4651685335015316E-2</v>
      </c>
      <c r="H62" s="8">
        <v>3.854746266800102E-2</v>
      </c>
      <c r="I62" s="8">
        <v>-1.6033114078272348E-2</v>
      </c>
      <c r="J62" s="8">
        <v>5.1402531185661404E-3</v>
      </c>
      <c r="K62" s="8">
        <v>4.9723800509479776E-2</v>
      </c>
      <c r="L62" s="8">
        <v>8.3960081905338324E-2</v>
      </c>
      <c r="M62" s="8">
        <v>-9.70605990268672E-2</v>
      </c>
      <c r="N62" s="8">
        <v>-6.6449917108309053E-2</v>
      </c>
      <c r="O62" s="8">
        <v>-5.780964315496695E-2</v>
      </c>
      <c r="P62" s="8">
        <v>-6.3799750143103962E-2</v>
      </c>
      <c r="Q62" s="8">
        <v>7.2418974192262064E-3</v>
      </c>
      <c r="R62" s="8">
        <v>-2.3123092617063634E-2</v>
      </c>
      <c r="S62" s="8">
        <v>2.7477706047598416E-2</v>
      </c>
      <c r="T62" s="8">
        <v>-4.392726354735299E-2</v>
      </c>
      <c r="U62" s="8">
        <v>-6.8778734142637743E-2</v>
      </c>
      <c r="V62" s="8">
        <v>9.2644472120485266E-2</v>
      </c>
      <c r="W62" s="8">
        <v>5.3209752948952249E-2</v>
      </c>
      <c r="X62" s="8">
        <v>-1.2596640525447733E-2</v>
      </c>
      <c r="Y62" s="8">
        <v>-9.3380925830279127E-2</v>
      </c>
      <c r="Z62" s="8">
        <v>-0.18495163812753307</v>
      </c>
      <c r="AA62" s="8">
        <v>3.0739630697110054E-2</v>
      </c>
      <c r="AB62" s="8">
        <v>6.4852649207856716E-2</v>
      </c>
      <c r="AC62" s="8">
        <v>-7.8669859166443035E-2</v>
      </c>
      <c r="AD62" s="8">
        <v>-9.2645841808008944E-2</v>
      </c>
      <c r="AE62" s="8">
        <v>0.10308465970998704</v>
      </c>
      <c r="AF62" s="8">
        <v>-0.16271742947334544</v>
      </c>
      <c r="AG62" s="8">
        <v>1.7765070031194097E-2</v>
      </c>
      <c r="AH62" s="8">
        <v>-1.5116978716194107E-2</v>
      </c>
      <c r="AI62" s="8">
        <v>-2.2075925903265015E-2</v>
      </c>
      <c r="AJ62" s="8">
        <v>-2.4935457767359559E-2</v>
      </c>
      <c r="AK62" s="8">
        <v>-1.8147978913627405E-2</v>
      </c>
      <c r="AL62" s="8">
        <v>-1.5919690987174384E-2</v>
      </c>
      <c r="AM62" s="8">
        <v>0.13460986510163131</v>
      </c>
      <c r="AN62" s="8">
        <v>1.1717671424610387E-2</v>
      </c>
      <c r="AO62" s="8">
        <v>-3.9654851487208487E-2</v>
      </c>
      <c r="AP62" s="8">
        <v>6.0546732936747283E-2</v>
      </c>
      <c r="AQ62" s="8">
        <v>-9.2051374853359125E-2</v>
      </c>
      <c r="AR62" s="8">
        <v>3.4992252392667178E-2</v>
      </c>
      <c r="AS62" s="8">
        <v>4.4997876740029974E-2</v>
      </c>
      <c r="AT62" s="8">
        <v>-4.9560073821467876E-2</v>
      </c>
      <c r="AU62" s="8">
        <v>-5.8167507808685015E-2</v>
      </c>
      <c r="AV62" s="8">
        <v>6.7990038612736003E-2</v>
      </c>
      <c r="AW62" s="8">
        <v>2.0291063657525144E-2</v>
      </c>
      <c r="AX62" s="8">
        <v>5.8746593745479414E-2</v>
      </c>
      <c r="AY62" s="8">
        <v>2.9930062373767496E-3</v>
      </c>
      <c r="AZ62" s="8">
        <v>-0.1032205013203415</v>
      </c>
      <c r="BA62" s="8">
        <v>-9.9655727245341996E-2</v>
      </c>
      <c r="BB62" s="8">
        <v>7.6653929109658125E-2</v>
      </c>
      <c r="BC62" s="8">
        <v>-0.10839888916392459</v>
      </c>
      <c r="BD62" s="8">
        <v>4.1005437424246283E-2</v>
      </c>
      <c r="BE62" s="8">
        <v>7.0888350453254423E-2</v>
      </c>
      <c r="BF62" s="8">
        <v>-6.8976675314180724E-4</v>
      </c>
      <c r="BG62" s="8">
        <v>0.15075327949547696</v>
      </c>
      <c r="BH62" s="8">
        <v>-3.6577749154971362E-2</v>
      </c>
      <c r="BI62" s="8">
        <v>1.1579082520948303E-3</v>
      </c>
      <c r="BJ62" s="8">
        <v>-3.163246646833362E-2</v>
      </c>
      <c r="BK62" s="8">
        <v>3.0613973846110365E-2</v>
      </c>
      <c r="BL62" s="8">
        <v>6.7130982530919425E-2</v>
      </c>
      <c r="BM62" s="8">
        <v>0.10632469759864316</v>
      </c>
      <c r="BN62" s="8">
        <v>0.12365470969983045</v>
      </c>
      <c r="BO62" s="8">
        <v>-9.3507404815519501E-2</v>
      </c>
      <c r="BP62" s="8">
        <v>5.3055101383193359E-2</v>
      </c>
      <c r="BQ62" s="8">
        <v>9.3359398811369343E-2</v>
      </c>
      <c r="BR62" s="8">
        <v>-1.9625474644301311E-2</v>
      </c>
      <c r="BS62" s="8">
        <v>1.989100430359475E-2</v>
      </c>
      <c r="BT62" s="8">
        <v>-7.6325139578996559E-3</v>
      </c>
      <c r="BU62" s="8">
        <v>5.384550045680081E-2</v>
      </c>
      <c r="BV62" s="8">
        <v>8.8667765574015567E-2</v>
      </c>
      <c r="BW62" s="8">
        <v>1.3774751872948632E-3</v>
      </c>
      <c r="BX62" s="8">
        <v>-5.4427059195360672E-2</v>
      </c>
      <c r="BY62" s="8">
        <v>-5.1756222492506221E-2</v>
      </c>
      <c r="BZ62" s="8">
        <v>-2.4226008461883775E-2</v>
      </c>
      <c r="CA62" s="8">
        <v>1.4960782193172983E-3</v>
      </c>
      <c r="CB62" s="8">
        <v>7.651595941118905E-2</v>
      </c>
      <c r="CC62" s="8">
        <v>1.8425483975831769E-2</v>
      </c>
      <c r="CD62" s="8">
        <v>0.11542469967458696</v>
      </c>
      <c r="CE62" s="8">
        <v>2.8980628484025162E-2</v>
      </c>
      <c r="CF62" s="8">
        <v>-3.4631081112462048E-2</v>
      </c>
      <c r="CG62" s="8">
        <v>-1.0719602176648246E-2</v>
      </c>
      <c r="CH62" s="8">
        <v>6.7953703858700976E-2</v>
      </c>
      <c r="CI62" s="8">
        <v>-4.7840883817147517E-2</v>
      </c>
      <c r="CJ62" s="8">
        <v>-1.2530075688120423E-2</v>
      </c>
      <c r="CK62" s="8">
        <v>1.0909220968358002E-2</v>
      </c>
      <c r="CL62" s="8">
        <v>2.2113455035880802E-2</v>
      </c>
      <c r="CM62" s="8">
        <v>9.2840905213093017E-2</v>
      </c>
      <c r="CN62" s="8">
        <v>2.7772673324850006E-2</v>
      </c>
      <c r="CO62" s="8">
        <v>2.015924015525028E-3</v>
      </c>
      <c r="CP62" s="8">
        <v>0.10817001225751577</v>
      </c>
      <c r="CQ62" s="8">
        <v>3.6405793247916707E-2</v>
      </c>
      <c r="CR62" s="8">
        <v>1.859451108480753E-2</v>
      </c>
      <c r="CS62" s="8">
        <v>-4.7156265605754033E-2</v>
      </c>
      <c r="CT62" s="8">
        <v>-3.5128902704749831E-2</v>
      </c>
      <c r="CU62" s="8">
        <v>-4.2859325517204061E-2</v>
      </c>
      <c r="CV62" s="8">
        <v>-4.3459009473129195E-2</v>
      </c>
      <c r="CW62" s="8">
        <v>3.745030460185661E-2</v>
      </c>
      <c r="CX62" s="8">
        <v>-2.2909613209527002E-2</v>
      </c>
      <c r="CY62" s="8">
        <v>7.0808860443583588E-2</v>
      </c>
      <c r="CZ62" s="8">
        <v>0.1374162163799062</v>
      </c>
      <c r="DA62" s="8">
        <v>2.3905607623545544E-2</v>
      </c>
      <c r="DB62" s="8">
        <v>1.9581618226703013E-2</v>
      </c>
      <c r="DC62" s="8">
        <v>-1.9325563559072778E-3</v>
      </c>
      <c r="DD62" s="8">
        <v>-2.5259169158819872E-2</v>
      </c>
      <c r="DE62" s="8">
        <v>4.0735796599099705E-2</v>
      </c>
      <c r="DF62" s="8">
        <v>4.0959150141229861E-2</v>
      </c>
      <c r="DG62" s="8">
        <v>-0.12976633531838194</v>
      </c>
      <c r="DH62" s="8">
        <v>-6.2727263523622012E-3</v>
      </c>
      <c r="DI62" s="8">
        <v>-5.0927129862049225E-2</v>
      </c>
      <c r="DJ62" s="8">
        <v>5.2855540238982812E-2</v>
      </c>
      <c r="DK62" s="8">
        <v>-1.2629627804876031E-2</v>
      </c>
      <c r="DL62" s="8">
        <v>-9.6331788567135201E-2</v>
      </c>
      <c r="DM62" s="8">
        <v>1.7767770893514612E-2</v>
      </c>
      <c r="DN62" s="8">
        <v>-7.1094969288191368E-2</v>
      </c>
      <c r="DO62" s="8">
        <v>-2.943160604735251E-2</v>
      </c>
      <c r="DP62" s="8">
        <v>0.1117337150174616</v>
      </c>
      <c r="DQ62" s="8">
        <v>1.1515035645934979E-2</v>
      </c>
      <c r="DR62" s="8">
        <v>4.2963091543247789E-2</v>
      </c>
      <c r="DS62" s="8">
        <v>0.18390383940545213</v>
      </c>
      <c r="DT62" s="8">
        <v>8.6170777321727565E-2</v>
      </c>
      <c r="DU62" s="8">
        <v>-3.4188725229723937E-2</v>
      </c>
      <c r="DV62" s="8">
        <v>3.2522499569538899E-3</v>
      </c>
      <c r="DW62" s="8">
        <v>-7.1326735050069812E-2</v>
      </c>
      <c r="DX62" s="8">
        <v>-2.8791731088840478E-2</v>
      </c>
      <c r="DY62" s="8">
        <v>5.7721528754883233E-3</v>
      </c>
      <c r="DZ62" s="8">
        <v>-4.9068757426842413E-2</v>
      </c>
      <c r="EA62" s="8">
        <v>4.1267302975361075E-2</v>
      </c>
      <c r="EB62" s="8">
        <v>-3.2823154548964728E-2</v>
      </c>
      <c r="EC62" s="8">
        <v>0.10755524470118444</v>
      </c>
      <c r="ED62" s="8">
        <v>4.8845306154080781E-2</v>
      </c>
      <c r="EE62" s="8">
        <v>2.2532643803044594E-2</v>
      </c>
      <c r="EF62" s="8">
        <v>9.1520702434207957E-3</v>
      </c>
      <c r="EG62" s="8">
        <v>-2.2355273341312043E-2</v>
      </c>
      <c r="EH62" s="8">
        <v>1.735536116930736E-2</v>
      </c>
      <c r="EI62" s="8">
        <v>-0.11928643702478386</v>
      </c>
      <c r="EJ62" s="8">
        <v>2.3067916544248945E-2</v>
      </c>
      <c r="EK62" s="8">
        <v>-1.7446180781776177E-2</v>
      </c>
      <c r="EL62" s="8">
        <v>7.7736961562194007E-2</v>
      </c>
      <c r="EM62" s="8">
        <v>-3.2560279940063608E-2</v>
      </c>
      <c r="EN62" s="8">
        <v>-6.2116140439113676E-2</v>
      </c>
      <c r="EO62" s="8">
        <v>6.7673268046734791E-2</v>
      </c>
      <c r="EP62" s="8">
        <v>-4.913761888344198E-2</v>
      </c>
      <c r="EQ62" s="8">
        <v>6.1167035458273622E-2</v>
      </c>
      <c r="ER62" s="8">
        <v>5.9714874162089648E-2</v>
      </c>
      <c r="ES62" s="8">
        <v>6.2745522252874109E-2</v>
      </c>
      <c r="ET62" s="8">
        <v>-3.9388481850810009E-3</v>
      </c>
      <c r="EU62" s="8">
        <v>1.9624378495055828E-2</v>
      </c>
      <c r="EV62" s="8">
        <v>-2.7922701791097071E-2</v>
      </c>
      <c r="EW62" s="8">
        <v>6.0609077936551292E-2</v>
      </c>
      <c r="EX62" s="8">
        <v>-4.0996818733756157E-3</v>
      </c>
      <c r="EY62" s="8">
        <v>1.5338078735425031E-2</v>
      </c>
      <c r="EZ62" s="8">
        <v>-2.0673226371794029E-2</v>
      </c>
      <c r="FA62" s="8">
        <v>-1.9967319566767228E-2</v>
      </c>
      <c r="FB62" s="8">
        <v>6.8933386478867431E-2</v>
      </c>
      <c r="FC62" s="8">
        <v>-6.2416306682377853E-2</v>
      </c>
      <c r="FD62" s="8">
        <v>-2.4354065011862769E-2</v>
      </c>
      <c r="FE62" s="8">
        <v>-6.7354862556012696E-2</v>
      </c>
      <c r="FF62" s="8">
        <v>3.8392695164218338E-2</v>
      </c>
      <c r="FG62" s="8">
        <v>1.4333249986118235E-2</v>
      </c>
      <c r="FH62" s="8">
        <v>9.4991501966296632E-2</v>
      </c>
      <c r="FI62" s="8">
        <v>8.0966161660801006E-2</v>
      </c>
      <c r="FJ62" s="8">
        <v>-1.5804931994093774E-2</v>
      </c>
      <c r="FK62" s="8">
        <v>4.1959460100749746E-2</v>
      </c>
      <c r="FL62" s="8">
        <v>7.9822648597659862E-2</v>
      </c>
      <c r="FM62" s="8">
        <v>0.10080675562426961</v>
      </c>
      <c r="FN62" s="8">
        <v>-5.3849046399870315E-2</v>
      </c>
      <c r="FO62" s="8">
        <v>-2.192606384476381E-2</v>
      </c>
      <c r="FP62" s="8">
        <v>1.6230539700332947E-2</v>
      </c>
      <c r="FQ62" s="8">
        <v>-4.8403911168199198E-2</v>
      </c>
      <c r="FR62" s="8">
        <v>-5.3460157701776478E-2</v>
      </c>
      <c r="FS62" s="8">
        <v>-6.937126734107929E-2</v>
      </c>
      <c r="FT62" s="8">
        <v>-5.6548071405364164E-2</v>
      </c>
      <c r="FU62" s="8">
        <v>-1.8734647953712102E-2</v>
      </c>
      <c r="FV62" s="8">
        <v>3.9574504827539714E-2</v>
      </c>
      <c r="FW62" s="8">
        <v>4.7367010028357415E-2</v>
      </c>
      <c r="FX62" s="8">
        <v>-7.0431599307857751E-2</v>
      </c>
      <c r="FY62" s="8">
        <v>-4.0054582619987789E-2</v>
      </c>
      <c r="FZ62" s="8">
        <v>4.4195983052057408E-2</v>
      </c>
      <c r="GA62" s="8">
        <v>-0.14752466058385094</v>
      </c>
      <c r="GB62" s="8">
        <v>9.5276962417474242E-2</v>
      </c>
      <c r="GC62" s="8">
        <v>-7.1289924994553444E-2</v>
      </c>
      <c r="GD62" s="8">
        <v>2.877162692848767E-2</v>
      </c>
      <c r="GE62" s="8">
        <v>2.914933059074265E-2</v>
      </c>
      <c r="GF62" s="8">
        <v>1.3653615058097368E-2</v>
      </c>
      <c r="GG62" s="8">
        <v>2.1927232930649132E-3</v>
      </c>
      <c r="GH62" s="8">
        <v>-4.9938144824628106E-2</v>
      </c>
      <c r="GI62" s="8">
        <v>-6.2213058447994074E-3</v>
      </c>
      <c r="GJ62" s="8">
        <v>1.8134009107186544E-2</v>
      </c>
      <c r="GK62" s="8">
        <v>2.3855703685574881E-2</v>
      </c>
      <c r="GL62" s="8">
        <v>-2.7067258273711925E-3</v>
      </c>
      <c r="GM62" s="8">
        <v>-4.1050794734084406E-2</v>
      </c>
      <c r="GN62" s="8">
        <v>0.1454365576185761</v>
      </c>
      <c r="GO62" s="8">
        <v>-1.3830958733298371E-2</v>
      </c>
      <c r="GP62" s="8">
        <v>-2.432519960302898E-2</v>
      </c>
      <c r="GQ62" s="8">
        <v>-9.306523250437837E-2</v>
      </c>
      <c r="GR62" s="8">
        <v>7.5480291601712324E-2</v>
      </c>
      <c r="GS62" s="8">
        <v>1.0109999049412233E-2</v>
      </c>
      <c r="GT62" s="8">
        <v>-4.0251269723631911E-2</v>
      </c>
      <c r="GU62" s="8">
        <v>-2.316487166518777E-3</v>
      </c>
      <c r="GV62" s="8">
        <v>-2.3082993098412941E-2</v>
      </c>
      <c r="GW62" s="8">
        <v>-3.4153289114884577E-2</v>
      </c>
      <c r="GX62" s="8">
        <v>5.8134025467461048E-2</v>
      </c>
      <c r="GY62" s="8">
        <v>9.0365347340564117E-3</v>
      </c>
      <c r="GZ62" s="8">
        <v>-9.8392831644905643E-2</v>
      </c>
      <c r="HA62" s="8">
        <v>3.6099325473455401E-3</v>
      </c>
      <c r="HB62" s="8">
        <v>7.1079087809184927E-2</v>
      </c>
      <c r="HC62" s="8">
        <v>-1.7454818162757069E-2</v>
      </c>
      <c r="HD62" s="8">
        <v>1.0316174797132371E-2</v>
      </c>
      <c r="HE62" s="8">
        <v>-1.5669494237065928E-2</v>
      </c>
      <c r="HF62" s="8">
        <v>-1.2323252704629195E-2</v>
      </c>
      <c r="HG62" s="8">
        <v>4.0474931261049729E-2</v>
      </c>
      <c r="HH62" s="8">
        <v>9.2586357583464562E-2</v>
      </c>
      <c r="HI62" s="8">
        <v>-4.051604122587249E-2</v>
      </c>
      <c r="HJ62" s="8">
        <v>-9.5053431919761289E-2</v>
      </c>
      <c r="HK62" s="8">
        <v>-2.936346402643103E-2</v>
      </c>
      <c r="HL62" s="8">
        <v>2.5760989291986836E-2</v>
      </c>
      <c r="HM62" s="8">
        <v>5.3302215366104355E-2</v>
      </c>
      <c r="HN62" s="8">
        <v>4.6381105836031056E-2</v>
      </c>
      <c r="HO62" s="8">
        <v>0.13881512915243793</v>
      </c>
      <c r="HP62" s="8">
        <v>-3.4982472230449146E-2</v>
      </c>
      <c r="HQ62" s="8">
        <v>-6.9932586337870417E-2</v>
      </c>
      <c r="HR62" s="8">
        <v>4.652541912166458E-2</v>
      </c>
      <c r="HS62" s="8">
        <v>6.3978373492731722E-2</v>
      </c>
      <c r="HT62" s="8">
        <v>8.2080745909115405E-2</v>
      </c>
      <c r="HU62" s="8">
        <v>0.12297011036422895</v>
      </c>
      <c r="HV62" s="8">
        <v>-2.9366364980961346E-2</v>
      </c>
      <c r="HW62" s="8">
        <v>0.19341598419031492</v>
      </c>
      <c r="HX62" s="8">
        <v>4.2494034229240585E-2</v>
      </c>
      <c r="HY62" s="8">
        <v>5.4337644808889918E-2</v>
      </c>
      <c r="HZ62" s="8">
        <v>-9.0551824863040253E-2</v>
      </c>
      <c r="IA62" s="8">
        <v>-1.4166131633606138E-3</v>
      </c>
      <c r="IB62" s="8">
        <v>1.7753532205843803E-2</v>
      </c>
      <c r="IC62" s="8">
        <v>-3.4666954006668471E-2</v>
      </c>
      <c r="ID62" s="8">
        <v>4.0950182342833874E-2</v>
      </c>
      <c r="IE62" s="8">
        <v>2.9397745596342229E-2</v>
      </c>
      <c r="IF62" s="8">
        <v>-5.7597246726494467E-2</v>
      </c>
      <c r="IG62" s="8">
        <v>0.18680181608007007</v>
      </c>
      <c r="IH62" s="8">
        <v>-0.11289476549144178</v>
      </c>
      <c r="II62" s="8">
        <v>8.6286666118993494E-2</v>
      </c>
      <c r="IJ62" s="8">
        <v>-5.5050953476943054E-2</v>
      </c>
      <c r="IK62" s="8">
        <v>9.7445405596587709E-2</v>
      </c>
      <c r="IL62" s="8">
        <v>-1.0286739802663758E-2</v>
      </c>
      <c r="IM62" s="8">
        <v>-5.675254350054687E-2</v>
      </c>
      <c r="IN62" s="8">
        <v>1.6254161252507227E-2</v>
      </c>
      <c r="IO62" s="8">
        <v>3.5033270775255643E-2</v>
      </c>
      <c r="IP62" s="8">
        <v>-3.2596098318902644E-2</v>
      </c>
      <c r="IQ62" s="8">
        <v>6.8023825861033504E-2</v>
      </c>
      <c r="IR62" s="8">
        <v>-7.3504452700044021E-2</v>
      </c>
      <c r="IS62" s="8">
        <v>-2.4120421243741419E-2</v>
      </c>
      <c r="IT62" s="8">
        <v>1.6563070064093632E-2</v>
      </c>
    </row>
    <row r="63" spans="1:254" s="11" customFormat="1" x14ac:dyDescent="0.2">
      <c r="A63" s="10"/>
      <c r="B63" s="12">
        <v>2.5</v>
      </c>
      <c r="C63" s="2">
        <f t="shared" si="43"/>
        <v>2.8973310026895054E-2</v>
      </c>
      <c r="D63" s="3">
        <f t="shared" si="44"/>
        <v>9.3717302970515837E-2</v>
      </c>
      <c r="E63" s="8">
        <v>-0.1612086585770825</v>
      </c>
      <c r="F63" s="8">
        <v>-4.846672817024944E-2</v>
      </c>
      <c r="G63" s="8">
        <v>8.0997316948227538E-2</v>
      </c>
      <c r="H63" s="8">
        <v>2.0979847250983619E-2</v>
      </c>
      <c r="I63" s="8">
        <v>4.7270295545206453E-3</v>
      </c>
      <c r="J63" s="8">
        <v>2.3975610308988315E-2</v>
      </c>
      <c r="K63" s="8">
        <v>6.2225847570946957E-2</v>
      </c>
      <c r="L63" s="8">
        <v>7.4445572108238212E-2</v>
      </c>
      <c r="M63" s="8">
        <v>-8.8872853836718335E-2</v>
      </c>
      <c r="N63" s="8">
        <v>-4.2459252823748739E-2</v>
      </c>
      <c r="O63" s="8">
        <v>-5.5107797893807486E-2</v>
      </c>
      <c r="P63" s="8">
        <v>-6.9416256563528789E-2</v>
      </c>
      <c r="Q63" s="8">
        <v>-1.0462290150148601E-2</v>
      </c>
      <c r="R63" s="8">
        <v>-3.0568249983220497E-2</v>
      </c>
      <c r="S63" s="8">
        <v>2.0434931134999057E-2</v>
      </c>
      <c r="T63" s="8">
        <v>-3.5639450554590946E-2</v>
      </c>
      <c r="U63" s="8">
        <v>-9.7379256626503596E-2</v>
      </c>
      <c r="V63" s="8">
        <v>5.8258826497443017E-2</v>
      </c>
      <c r="W63" s="8">
        <v>2.7727057413061806E-2</v>
      </c>
      <c r="X63" s="8">
        <v>-2.1382720643751685E-3</v>
      </c>
      <c r="Y63" s="8">
        <v>-0.11982883777204362</v>
      </c>
      <c r="Z63" s="8">
        <v>-0.18645357125942924</v>
      </c>
      <c r="AA63" s="8">
        <v>1.8475186034676128E-2</v>
      </c>
      <c r="AB63" s="8">
        <v>6.2595599358737486E-2</v>
      </c>
      <c r="AC63" s="8">
        <v>-2.1907574605085078E-2</v>
      </c>
      <c r="AD63" s="8">
        <v>-7.449354605523556E-2</v>
      </c>
      <c r="AE63" s="8">
        <v>8.6363900806004257E-2</v>
      </c>
      <c r="AF63" s="8">
        <v>-0.13626763752875348</v>
      </c>
      <c r="AG63" s="8">
        <v>-2.0241382040003808E-3</v>
      </c>
      <c r="AH63" s="8">
        <v>4.8353673663489305E-3</v>
      </c>
      <c r="AI63" s="8">
        <v>-3.9331382761740252E-2</v>
      </c>
      <c r="AJ63" s="8">
        <v>-3.2823477967093284E-3</v>
      </c>
      <c r="AK63" s="8">
        <v>-5.4293876717468326E-3</v>
      </c>
      <c r="AL63" s="8">
        <v>1.8404907587957042E-2</v>
      </c>
      <c r="AM63" s="8">
        <v>0.10945998970206694</v>
      </c>
      <c r="AN63" s="8">
        <v>-1.58060803765388E-2</v>
      </c>
      <c r="AO63" s="8">
        <v>-2.4015210845211077E-2</v>
      </c>
      <c r="AP63" s="8">
        <v>6.3556745996548369E-2</v>
      </c>
      <c r="AQ63" s="8">
        <v>-0.10454526702451489</v>
      </c>
      <c r="AR63" s="8">
        <v>1.8364492905089846E-2</v>
      </c>
      <c r="AS63" s="8">
        <v>4.2688777846305648E-2</v>
      </c>
      <c r="AT63" s="8">
        <v>-4.0909643809594054E-2</v>
      </c>
      <c r="AU63" s="8">
        <v>-5.5979280342560334E-2</v>
      </c>
      <c r="AV63" s="8">
        <v>0.13605263027854952</v>
      </c>
      <c r="AW63" s="8">
        <v>-3.4047676072355704E-3</v>
      </c>
      <c r="AX63" s="8">
        <v>5.7984330737947343E-2</v>
      </c>
      <c r="AY63" s="8">
        <v>3.4143541904024688E-2</v>
      </c>
      <c r="AZ63" s="8">
        <v>-9.7562924118664351E-2</v>
      </c>
      <c r="BA63" s="8">
        <v>-9.3941991930432789E-2</v>
      </c>
      <c r="BB63" s="8">
        <v>5.4616776382054311E-2</v>
      </c>
      <c r="BC63" s="8">
        <v>-0.11263983225097529</v>
      </c>
      <c r="BD63" s="8">
        <v>-1.8344603200085019E-3</v>
      </c>
      <c r="BE63" s="8">
        <v>8.9022020943230917E-2</v>
      </c>
      <c r="BF63" s="8">
        <v>5.2743473811603381E-3</v>
      </c>
      <c r="BG63" s="8">
        <v>0.16811496201811649</v>
      </c>
      <c r="BH63" s="8">
        <v>-3.1634867180420356E-2</v>
      </c>
      <c r="BI63" s="8">
        <v>2.4517652476321095E-2</v>
      </c>
      <c r="BJ63" s="8">
        <v>-4.6491890220095977E-2</v>
      </c>
      <c r="BK63" s="8">
        <v>5.0380758853054097E-2</v>
      </c>
      <c r="BL63" s="8">
        <v>4.1414079834606432E-2</v>
      </c>
      <c r="BM63" s="8">
        <v>0.10970674502871641</v>
      </c>
      <c r="BN63" s="8">
        <v>0.10177905946536708</v>
      </c>
      <c r="BO63" s="8">
        <v>-8.5965277257437911E-2</v>
      </c>
      <c r="BP63" s="8">
        <v>3.4928590879203136E-2</v>
      </c>
      <c r="BQ63" s="8">
        <v>9.3717302970515837E-2</v>
      </c>
      <c r="BR63" s="8">
        <v>-2.9987007122917297E-2</v>
      </c>
      <c r="BS63" s="8">
        <v>3.7518697291045067E-2</v>
      </c>
      <c r="BT63" s="8">
        <v>-2.4681454105806744E-2</v>
      </c>
      <c r="BU63" s="8">
        <v>2.0197087235345412E-2</v>
      </c>
      <c r="BV63" s="8">
        <v>8.9989297579289362E-2</v>
      </c>
      <c r="BW63" s="8">
        <v>-1.3458641969110174E-3</v>
      </c>
      <c r="BX63" s="8">
        <v>-0.10995017623852082</v>
      </c>
      <c r="BY63" s="8">
        <v>-5.6429962146893387E-2</v>
      </c>
      <c r="BZ63" s="8">
        <v>1.106607738524118E-2</v>
      </c>
      <c r="CA63" s="8">
        <v>1.4414419170161841E-2</v>
      </c>
      <c r="CB63" s="8">
        <v>5.1453876299109247E-2</v>
      </c>
      <c r="CC63" s="8">
        <v>3.8686637850660066E-4</v>
      </c>
      <c r="CD63" s="8">
        <v>0.14024802640667144</v>
      </c>
      <c r="CE63" s="8">
        <v>6.8713719276052798E-2</v>
      </c>
      <c r="CF63" s="8">
        <v>-3.4091963674041992E-2</v>
      </c>
      <c r="CG63" s="8">
        <v>4.5022102904586969E-2</v>
      </c>
      <c r="CH63" s="8">
        <v>8.0463114627201626E-2</v>
      </c>
      <c r="CI63" s="8">
        <v>-5.1752860618098251E-2</v>
      </c>
      <c r="CJ63" s="8">
        <v>6.6161441937210852E-3</v>
      </c>
      <c r="CK63" s="8">
        <v>1.6299158163285421E-3</v>
      </c>
      <c r="CL63" s="8">
        <v>4.4819680145162466E-2</v>
      </c>
      <c r="CM63" s="8">
        <v>7.4401293748220909E-2</v>
      </c>
      <c r="CN63" s="8">
        <v>-1.3477467239878527E-2</v>
      </c>
      <c r="CO63" s="8">
        <v>4.3108245454521743E-3</v>
      </c>
      <c r="CP63" s="8">
        <v>9.1222113200831068E-2</v>
      </c>
      <c r="CQ63" s="8">
        <v>8.6751258062245373E-2</v>
      </c>
      <c r="CR63" s="8">
        <v>1.6064933531662662E-2</v>
      </c>
      <c r="CS63" s="8">
        <v>-9.6302861596442357E-2</v>
      </c>
      <c r="CT63" s="8">
        <v>-1.3978678376285858E-2</v>
      </c>
      <c r="CU63" s="8">
        <v>-6.9127075360213008E-2</v>
      </c>
      <c r="CV63" s="8">
        <v>-1.3068997485522538E-2</v>
      </c>
      <c r="CW63" s="8">
        <v>3.1725993827837362E-2</v>
      </c>
      <c r="CX63" s="8">
        <v>-2.7571429033876327E-2</v>
      </c>
      <c r="CY63" s="8">
        <v>0.10472679009039981</v>
      </c>
      <c r="CZ63" s="8">
        <v>0.13102183028994896</v>
      </c>
      <c r="DA63" s="8">
        <v>3.9299704418328418E-2</v>
      </c>
      <c r="DB63" s="8">
        <v>4.3817048380807355E-2</v>
      </c>
      <c r="DC63" s="8">
        <v>-2.7076937561167636E-2</v>
      </c>
      <c r="DD63" s="8">
        <v>-4.6069949633596896E-2</v>
      </c>
      <c r="DE63" s="8">
        <v>7.9786772715274568E-3</v>
      </c>
      <c r="DF63" s="8">
        <v>2.0834930852653144E-2</v>
      </c>
      <c r="DG63" s="8">
        <v>-0.11813642987578865</v>
      </c>
      <c r="DH63" s="8">
        <v>-1.2406570957982144E-2</v>
      </c>
      <c r="DI63" s="8">
        <v>-4.1671506222787702E-2</v>
      </c>
      <c r="DJ63" s="8">
        <v>4.786934989382885E-2</v>
      </c>
      <c r="DK63" s="8">
        <v>-1.4455748895108977E-2</v>
      </c>
      <c r="DL63" s="8">
        <v>-9.5252215143639574E-2</v>
      </c>
      <c r="DM63" s="8">
        <v>1.4164754619050424E-4</v>
      </c>
      <c r="DN63" s="8">
        <v>-5.6714379779250756E-2</v>
      </c>
      <c r="DO63" s="8">
        <v>-4.1989040828170232E-2</v>
      </c>
      <c r="DP63" s="8">
        <v>9.0453814013290723E-2</v>
      </c>
      <c r="DQ63" s="8">
        <v>3.2652923591636185E-2</v>
      </c>
      <c r="DR63" s="8">
        <v>5.7792641141622747E-2</v>
      </c>
      <c r="DS63" s="8">
        <v>0.1654726451224961</v>
      </c>
      <c r="DT63" s="8">
        <v>7.4857991121527079E-2</v>
      </c>
      <c r="DU63" s="8">
        <v>-3.208655374342495E-2</v>
      </c>
      <c r="DV63" s="8">
        <v>-1.2884073449023759E-3</v>
      </c>
      <c r="DW63" s="8">
        <v>-5.2356897520335399E-2</v>
      </c>
      <c r="DX63" s="8">
        <v>-3.1490665379129423E-2</v>
      </c>
      <c r="DY63" s="8">
        <v>1.46023675739273E-2</v>
      </c>
      <c r="DZ63" s="8">
        <v>-9.0960252263864338E-2</v>
      </c>
      <c r="EA63" s="8">
        <v>0.10909877978460331</v>
      </c>
      <c r="EB63" s="8">
        <v>-1.9832858604403814E-2</v>
      </c>
      <c r="EC63" s="8">
        <v>9.4310190402493443E-2</v>
      </c>
      <c r="ED63" s="8">
        <v>5.7418402354097231E-2</v>
      </c>
      <c r="EE63" s="8">
        <v>1.449943106535978E-2</v>
      </c>
      <c r="EF63" s="8">
        <v>-1.2982522283486231E-2</v>
      </c>
      <c r="EG63" s="8">
        <v>-3.3670354391159008E-2</v>
      </c>
      <c r="EH63" s="8">
        <v>-2.7271368812604835E-2</v>
      </c>
      <c r="EI63" s="8">
        <v>-9.0304457058279497E-2</v>
      </c>
      <c r="EJ63" s="8">
        <v>4.7142775884415955E-2</v>
      </c>
      <c r="EK63" s="8">
        <v>-3.2080334649177256E-2</v>
      </c>
      <c r="EL63" s="8">
        <v>0.10223524021085773</v>
      </c>
      <c r="EM63" s="8">
        <v>-1.8899778196006634E-2</v>
      </c>
      <c r="EN63" s="8">
        <v>-8.4748363804413251E-2</v>
      </c>
      <c r="EO63" s="8">
        <v>0.10275590555977326</v>
      </c>
      <c r="EP63" s="8">
        <v>-2.5281518232893707E-2</v>
      </c>
      <c r="EQ63" s="8">
        <v>7.4262276436003694E-2</v>
      </c>
      <c r="ER63" s="8">
        <v>4.6982188506768607E-2</v>
      </c>
      <c r="ES63" s="8">
        <v>4.4287597635453091E-2</v>
      </c>
      <c r="ET63" s="8">
        <v>3.3381856466292992E-3</v>
      </c>
      <c r="EU63" s="8">
        <v>1.5345364136985229E-2</v>
      </c>
      <c r="EV63" s="8">
        <v>-3.3850634900968513E-2</v>
      </c>
      <c r="EW63" s="8">
        <v>0.1016710033597899</v>
      </c>
      <c r="EX63" s="8">
        <v>-2.6276271270140428E-2</v>
      </c>
      <c r="EY63" s="8">
        <v>3.4705514302475537E-2</v>
      </c>
      <c r="EZ63" s="8">
        <v>-2.4324083605511082E-2</v>
      </c>
      <c r="FA63" s="8">
        <v>-5.9956761681798809E-2</v>
      </c>
      <c r="FB63" s="8">
        <v>3.1825878684775044E-2</v>
      </c>
      <c r="FC63" s="8">
        <v>-7.3824247963053924E-2</v>
      </c>
      <c r="FD63" s="8">
        <v>5.560591564781614E-3</v>
      </c>
      <c r="FE63" s="8">
        <v>-7.4175616712154169E-2</v>
      </c>
      <c r="FF63" s="8">
        <v>5.0439991175898147E-2</v>
      </c>
      <c r="FG63" s="8">
        <v>-1.3254845261243986E-2</v>
      </c>
      <c r="FH63" s="8">
        <v>0.10663556845449973</v>
      </c>
      <c r="FI63" s="8">
        <v>9.361841958753403E-2</v>
      </c>
      <c r="FJ63" s="8">
        <v>-3.7825805710291538E-2</v>
      </c>
      <c r="FK63" s="8">
        <v>1.0669906528419371E-3</v>
      </c>
      <c r="FL63" s="8">
        <v>9.2196659196615183E-2</v>
      </c>
      <c r="FM63" s="8">
        <v>8.1764748824460609E-2</v>
      </c>
      <c r="FN63" s="8">
        <v>-5.8396056938875618E-2</v>
      </c>
      <c r="FO63" s="8">
        <v>-3.5863612608580897E-2</v>
      </c>
      <c r="FP63" s="8">
        <v>2.2612281515742128E-2</v>
      </c>
      <c r="FQ63" s="8">
        <v>-4.5959717640368991E-2</v>
      </c>
      <c r="FR63" s="8">
        <v>-4.4768467979249382E-2</v>
      </c>
      <c r="FS63" s="8">
        <v>-6.4856156492414607E-2</v>
      </c>
      <c r="FT63" s="8">
        <v>-7.5690428028953705E-2</v>
      </c>
      <c r="FU63" s="8">
        <v>2.5490978873346226E-2</v>
      </c>
      <c r="FV63" s="8">
        <v>7.0156493339247727E-2</v>
      </c>
      <c r="FW63" s="8">
        <v>5.0043575312011757E-2</v>
      </c>
      <c r="FX63" s="8">
        <v>-6.8680801419894855E-2</v>
      </c>
      <c r="FY63" s="8">
        <v>-4.9835495448709244E-2</v>
      </c>
      <c r="FZ63" s="8">
        <v>7.795484112392892E-3</v>
      </c>
      <c r="GA63" s="8">
        <v>-0.10771924195338523</v>
      </c>
      <c r="GB63" s="8">
        <v>0.10334983561984001</v>
      </c>
      <c r="GC63" s="8">
        <v>-6.6107106936388604E-2</v>
      </c>
      <c r="GD63" s="8">
        <v>-8.7686097797079476E-5</v>
      </c>
      <c r="GE63" s="8">
        <v>3.8421754358647309E-2</v>
      </c>
      <c r="GF63" s="8">
        <v>3.9343048311292483E-2</v>
      </c>
      <c r="GG63" s="8">
        <v>-2.9673575559208687E-3</v>
      </c>
      <c r="GH63" s="8">
        <v>-5.5568497188844601E-2</v>
      </c>
      <c r="GI63" s="8">
        <v>1.2197226911670689E-2</v>
      </c>
      <c r="GJ63" s="8">
        <v>2.7150466349123381E-2</v>
      </c>
      <c r="GK63" s="8">
        <v>-2.9162750172279095E-4</v>
      </c>
      <c r="GL63" s="8">
        <v>-2.6563183482674502E-2</v>
      </c>
      <c r="GM63" s="8">
        <v>-1.4529634773486122E-2</v>
      </c>
      <c r="GN63" s="8">
        <v>0.10072820332805926</v>
      </c>
      <c r="GO63" s="8">
        <v>-1.4216846323431898E-2</v>
      </c>
      <c r="GP63" s="8">
        <v>-2.2789168646284774E-2</v>
      </c>
      <c r="GQ63" s="8">
        <v>-9.8558768019700482E-2</v>
      </c>
      <c r="GR63" s="8">
        <v>0.12243067162925109</v>
      </c>
      <c r="GS63" s="8">
        <v>3.9985521937219548E-2</v>
      </c>
      <c r="GT63" s="8">
        <v>-4.5670292439176641E-2</v>
      </c>
      <c r="GU63" s="8">
        <v>-2.5428072078012565E-3</v>
      </c>
      <c r="GV63" s="8">
        <v>-2.325369587758408E-2</v>
      </c>
      <c r="GW63" s="8">
        <v>-2.1044148829456599E-2</v>
      </c>
      <c r="GX63" s="8">
        <v>6.024067589073534E-3</v>
      </c>
      <c r="GY63" s="8">
        <v>5.4984251979428911E-2</v>
      </c>
      <c r="GZ63" s="8">
        <v>-0.1023832200479719</v>
      </c>
      <c r="HA63" s="8">
        <v>5.5987827551652325E-3</v>
      </c>
      <c r="HB63" s="8">
        <v>0.1001480663936784</v>
      </c>
      <c r="HC63" s="8">
        <v>-2.87070424651934E-2</v>
      </c>
      <c r="HD63" s="8">
        <v>-1.9680374933609579E-2</v>
      </c>
      <c r="HE63" s="8">
        <v>-8.9418923673655892E-3</v>
      </c>
      <c r="HF63" s="8">
        <v>-1.5570092188870455E-2</v>
      </c>
      <c r="HG63" s="8">
        <v>6.2894076546663902E-2</v>
      </c>
      <c r="HH63" s="8">
        <v>9.7537870431081697E-2</v>
      </c>
      <c r="HI63" s="8">
        <v>-3.4930555198608826E-2</v>
      </c>
      <c r="HJ63" s="8">
        <v>-0.1115704720589904</v>
      </c>
      <c r="HK63" s="8">
        <v>-4.3687972309300993E-2</v>
      </c>
      <c r="HL63" s="8">
        <v>4.1003290283184723E-2</v>
      </c>
      <c r="HM63" s="8">
        <v>2.1304717221002079E-2</v>
      </c>
      <c r="HN63" s="8">
        <v>4.2543044312143063E-2</v>
      </c>
      <c r="HO63" s="8">
        <v>0.19493598398215994</v>
      </c>
      <c r="HP63" s="8">
        <v>-1.126369342925948E-2</v>
      </c>
      <c r="HQ63" s="8">
        <v>-9.3354610006173677E-2</v>
      </c>
      <c r="HR63" s="8">
        <v>4.0834855819773364E-2</v>
      </c>
      <c r="HS63" s="8">
        <v>5.5715009846673325E-2</v>
      </c>
      <c r="HT63" s="8">
        <v>6.0294397371943809E-2</v>
      </c>
      <c r="HU63" s="8">
        <v>9.6585378245365505E-2</v>
      </c>
      <c r="HV63" s="8">
        <v>-5.2323766875902067E-2</v>
      </c>
      <c r="HW63" s="8">
        <v>0.1660272849716084</v>
      </c>
      <c r="HX63" s="8">
        <v>3.6984683754518466E-2</v>
      </c>
      <c r="HY63" s="8">
        <v>4.3653905906007928E-2</v>
      </c>
      <c r="HZ63" s="8">
        <v>-6.1242962227043118E-2</v>
      </c>
      <c r="IA63" s="8">
        <v>1.7123870608156289E-2</v>
      </c>
      <c r="IB63" s="8">
        <v>2.8760377512856428E-3</v>
      </c>
      <c r="IC63" s="8">
        <v>-3.2215588351459157E-2</v>
      </c>
      <c r="ID63" s="8">
        <v>2.5195080314947549E-3</v>
      </c>
      <c r="IE63" s="8">
        <v>4.4764058177025112E-2</v>
      </c>
      <c r="IF63" s="8">
        <v>-3.7926643864518994E-2</v>
      </c>
      <c r="IG63" s="8">
        <v>0.21214965240327577</v>
      </c>
      <c r="IH63" s="8">
        <v>-0.10100164539853906</v>
      </c>
      <c r="II63" s="8">
        <v>9.6409148340208084E-2</v>
      </c>
      <c r="IJ63" s="8">
        <v>-3.4912933874856E-2</v>
      </c>
      <c r="IK63" s="8">
        <v>8.0786124535901616E-2</v>
      </c>
      <c r="IL63" s="8">
        <v>1.0869407148314858E-2</v>
      </c>
      <c r="IM63" s="8">
        <v>-8.0105106661407188E-2</v>
      </c>
      <c r="IN63" s="8">
        <v>1.0067541779719469E-2</v>
      </c>
      <c r="IO63" s="8">
        <v>4.0483386822754985E-3</v>
      </c>
      <c r="IP63" s="8">
        <v>-5.5280877077036883E-2</v>
      </c>
      <c r="IQ63" s="8">
        <v>8.3763934699611686E-2</v>
      </c>
      <c r="IR63" s="8">
        <v>-6.4031632998184818E-2</v>
      </c>
      <c r="IS63" s="8">
        <v>3.5744045558761539E-3</v>
      </c>
      <c r="IT63" s="8">
        <v>2.7730959099321606E-2</v>
      </c>
    </row>
    <row r="64" spans="1:254" s="11" customFormat="1" x14ac:dyDescent="0.2">
      <c r="A64" s="10"/>
      <c r="B64" s="12">
        <v>2.75</v>
      </c>
      <c r="C64" s="2">
        <f t="shared" si="43"/>
        <v>2.8265436374863576E-2</v>
      </c>
      <c r="D64" s="3">
        <f t="shared" si="44"/>
        <v>9.204081282812826E-2</v>
      </c>
      <c r="E64" s="8">
        <v>-0.19023146371739075</v>
      </c>
      <c r="F64" s="8">
        <v>-2.2158936229210446E-2</v>
      </c>
      <c r="G64" s="8">
        <v>5.0085684296470756E-2</v>
      </c>
      <c r="H64" s="8">
        <v>-1.1471155722889703E-2</v>
      </c>
      <c r="I64" s="8">
        <v>-5.4023091327737305E-5</v>
      </c>
      <c r="J64" s="8">
        <v>2.735983206087711E-2</v>
      </c>
      <c r="K64" s="8">
        <v>5.980993562744269E-2</v>
      </c>
      <c r="L64" s="8">
        <v>0.12689785572165907</v>
      </c>
      <c r="M64" s="8">
        <v>-0.10414828397651982</v>
      </c>
      <c r="N64" s="8">
        <v>-4.9487165662360444E-2</v>
      </c>
      <c r="O64" s="8">
        <v>-4.2775657300945735E-2</v>
      </c>
      <c r="P64" s="8">
        <v>-4.4103862681399708E-2</v>
      </c>
      <c r="Q64" s="8">
        <v>-1.3954167629595726E-2</v>
      </c>
      <c r="R64" s="8">
        <v>-2.7847082964301551E-2</v>
      </c>
      <c r="S64" s="8">
        <v>8.9997778960776986E-3</v>
      </c>
      <c r="T64" s="8">
        <v>-5.7035094028840716E-2</v>
      </c>
      <c r="U64" s="8">
        <v>-8.7079062674593644E-2</v>
      </c>
      <c r="V64" s="8">
        <v>9.2302807273102028E-2</v>
      </c>
      <c r="W64" s="8">
        <v>1.8843466586165092E-2</v>
      </c>
      <c r="X64" s="8">
        <v>-1.0205390034630002E-2</v>
      </c>
      <c r="Y64" s="8">
        <v>-0.13879791857102602</v>
      </c>
      <c r="Z64" s="8">
        <v>-0.16245328388885877</v>
      </c>
      <c r="AA64" s="8">
        <v>6.6916387547621969E-4</v>
      </c>
      <c r="AB64" s="8">
        <v>5.6464619248623782E-2</v>
      </c>
      <c r="AC64" s="8">
        <v>-1.7516496304345042E-3</v>
      </c>
      <c r="AD64" s="8">
        <v>-4.5479611655229901E-2</v>
      </c>
      <c r="AE64" s="8">
        <v>0.11942177398905446</v>
      </c>
      <c r="AF64" s="8">
        <v>-0.11990275244206677</v>
      </c>
      <c r="AG64" s="8">
        <v>1.1826539219500387E-2</v>
      </c>
      <c r="AH64" s="8">
        <v>4.609951561929021E-2</v>
      </c>
      <c r="AI64" s="8">
        <v>-5.2895324648677688E-2</v>
      </c>
      <c r="AJ64" s="8">
        <v>1.4925783719211216E-2</v>
      </c>
      <c r="AK64" s="8">
        <v>-2.3376549182003603E-2</v>
      </c>
      <c r="AL64" s="8">
        <v>-1.2502262446258128E-2</v>
      </c>
      <c r="AM64" s="8">
        <v>9.383265746760916E-2</v>
      </c>
      <c r="AN64" s="8">
        <v>-6.948754008517799E-5</v>
      </c>
      <c r="AO64" s="8">
        <v>-4.4495837929514559E-2</v>
      </c>
      <c r="AP64" s="8">
        <v>7.3027391815120579E-2</v>
      </c>
      <c r="AQ64" s="8">
        <v>-9.5253093299143277E-2</v>
      </c>
      <c r="AR64" s="8">
        <v>8.5349617923150545E-3</v>
      </c>
      <c r="AS64" s="8">
        <v>6.1482893334342814E-2</v>
      </c>
      <c r="AT64" s="8">
        <v>-1.863390117827024E-2</v>
      </c>
      <c r="AU64" s="8">
        <v>-7.3965381213371151E-2</v>
      </c>
      <c r="AV64" s="8">
        <v>0.13552950791939494</v>
      </c>
      <c r="AW64" s="8">
        <v>3.4613213185794633E-2</v>
      </c>
      <c r="AX64" s="8">
        <v>5.3663058229213023E-2</v>
      </c>
      <c r="AY64" s="8">
        <v>4.4519252630575323E-2</v>
      </c>
      <c r="AZ64" s="8">
        <v>-8.6536238768629647E-2</v>
      </c>
      <c r="BA64" s="8">
        <v>-8.523930012126274E-2</v>
      </c>
      <c r="BB64" s="8">
        <v>6.5422047792182414E-2</v>
      </c>
      <c r="BC64" s="8">
        <v>-0.12091978006564458</v>
      </c>
      <c r="BD64" s="8">
        <v>-3.4002216107504313E-2</v>
      </c>
      <c r="BE64" s="8">
        <v>8.7752839334040433E-2</v>
      </c>
      <c r="BF64" s="8">
        <v>-1.8123946720631889E-2</v>
      </c>
      <c r="BG64" s="8">
        <v>0.20105049059917923</v>
      </c>
      <c r="BH64" s="8">
        <v>-3.9357215692044423E-2</v>
      </c>
      <c r="BI64" s="8">
        <v>-3.9893123848244727E-4</v>
      </c>
      <c r="BJ64" s="8">
        <v>-1.9249621183140442E-2</v>
      </c>
      <c r="BK64" s="8">
        <v>3.9616469135571264E-2</v>
      </c>
      <c r="BL64" s="8">
        <v>3.1691100793005855E-2</v>
      </c>
      <c r="BM64" s="8">
        <v>0.10457582040066093</v>
      </c>
      <c r="BN64" s="8">
        <v>0.11686071955419752</v>
      </c>
      <c r="BO64" s="8">
        <v>-8.8478679477061006E-2</v>
      </c>
      <c r="BP64" s="8">
        <v>-1.4289888099747738E-2</v>
      </c>
      <c r="BQ64" s="8">
        <v>9.7978897218907013E-2</v>
      </c>
      <c r="BR64" s="8">
        <v>-4.1017463650698693E-2</v>
      </c>
      <c r="BS64" s="8">
        <v>5.4124518924694609E-2</v>
      </c>
      <c r="BT64" s="8">
        <v>-4.9382182999868851E-2</v>
      </c>
      <c r="BU64" s="8">
        <v>4.086579339654195E-2</v>
      </c>
      <c r="BV64" s="8">
        <v>8.2124583933166129E-2</v>
      </c>
      <c r="BW64" s="8">
        <v>-2.9015254338101426E-2</v>
      </c>
      <c r="BX64" s="8">
        <v>-0.1101308547820361</v>
      </c>
      <c r="BY64" s="8">
        <v>-1.9597983225023874E-2</v>
      </c>
      <c r="BZ64" s="8">
        <v>-1.3580206188526678E-2</v>
      </c>
      <c r="CA64" s="8">
        <v>2.4792003975187382E-2</v>
      </c>
      <c r="CB64" s="8">
        <v>7.9986376995948294E-2</v>
      </c>
      <c r="CC64" s="8">
        <v>4.4101978997761748E-2</v>
      </c>
      <c r="CD64" s="8">
        <v>0.11467688514068891</v>
      </c>
      <c r="CE64" s="8">
        <v>7.262536381645035E-2</v>
      </c>
      <c r="CF64" s="8">
        <v>-2.5071424363990513E-2</v>
      </c>
      <c r="CG64" s="8">
        <v>1.158274992393743E-2</v>
      </c>
      <c r="CH64" s="8">
        <v>7.705708154895935E-2</v>
      </c>
      <c r="CI64" s="8">
        <v>-5.255491750147212E-2</v>
      </c>
      <c r="CJ64" s="8">
        <v>-4.8200808119191474E-3</v>
      </c>
      <c r="CK64" s="8">
        <v>-3.8085762985980764E-2</v>
      </c>
      <c r="CL64" s="8">
        <v>7.5009963282767878E-2</v>
      </c>
      <c r="CM64" s="8">
        <v>3.5994316531952342E-2</v>
      </c>
      <c r="CN64" s="8">
        <v>4.7721137903818933E-3</v>
      </c>
      <c r="CO64" s="8">
        <v>2.1335764152383641E-2</v>
      </c>
      <c r="CP64" s="8">
        <v>4.3706690535935511E-2</v>
      </c>
      <c r="CQ64" s="8">
        <v>9.5050766929773101E-2</v>
      </c>
      <c r="CR64" s="8">
        <v>1.3025667766794091E-2</v>
      </c>
      <c r="CS64" s="8">
        <v>-0.11950927511355952</v>
      </c>
      <c r="CT64" s="8">
        <v>-1.1510851388861765E-3</v>
      </c>
      <c r="CU64" s="8">
        <v>-9.8696532349289434E-2</v>
      </c>
      <c r="CV64" s="8">
        <v>-2.2095657926301915E-2</v>
      </c>
      <c r="CW64" s="8">
        <v>4.9840313774250355E-2</v>
      </c>
      <c r="CX64" s="8">
        <v>-1.6655005301717374E-2</v>
      </c>
      <c r="CY64" s="8">
        <v>0.11440215492027178</v>
      </c>
      <c r="CZ64" s="8">
        <v>0.11454799335559523</v>
      </c>
      <c r="DA64" s="8">
        <v>4.7441251367005166E-2</v>
      </c>
      <c r="DB64" s="8">
        <v>4.410064312979689E-2</v>
      </c>
      <c r="DC64" s="8">
        <v>-3.8613863019001715E-2</v>
      </c>
      <c r="DD64" s="8">
        <v>-2.0426032290301821E-2</v>
      </c>
      <c r="DE64" s="8">
        <v>5.2426586490742555E-2</v>
      </c>
      <c r="DF64" s="8">
        <v>3.0355611602368993E-3</v>
      </c>
      <c r="DG64" s="8">
        <v>-0.10907564848254903</v>
      </c>
      <c r="DH64" s="8">
        <v>-2.9098154792111475E-2</v>
      </c>
      <c r="DI64" s="8">
        <v>-1.4433040593148316E-2</v>
      </c>
      <c r="DJ64" s="8">
        <v>1.9312775208032706E-2</v>
      </c>
      <c r="DK64" s="8">
        <v>-3.3115621646674365E-2</v>
      </c>
      <c r="DL64" s="8">
        <v>-7.1686610483996993E-2</v>
      </c>
      <c r="DM64" s="8">
        <v>-2.9201376322966877E-2</v>
      </c>
      <c r="DN64" s="8">
        <v>-4.7794289044403249E-2</v>
      </c>
      <c r="DO64" s="8">
        <v>-5.6998599067590194E-2</v>
      </c>
      <c r="DP64" s="8">
        <v>9.204081282812826E-2</v>
      </c>
      <c r="DQ64" s="8">
        <v>5.30058857169175E-2</v>
      </c>
      <c r="DR64" s="8">
        <v>2.6571796727494379E-2</v>
      </c>
      <c r="DS64" s="8">
        <v>0.14482111918382384</v>
      </c>
      <c r="DT64" s="8">
        <v>1.8434857526624437E-2</v>
      </c>
      <c r="DU64" s="8">
        <v>-4.3869500665024208E-2</v>
      </c>
      <c r="DV64" s="8">
        <v>4.613396275619297E-3</v>
      </c>
      <c r="DW64" s="8">
        <v>-5.459131562251246E-2</v>
      </c>
      <c r="DX64" s="8">
        <v>1.0675540293975438E-2</v>
      </c>
      <c r="DY64" s="8">
        <v>3.2001887357471004E-2</v>
      </c>
      <c r="DZ64" s="8">
        <v>-8.9086264580233887E-2</v>
      </c>
      <c r="EA64" s="8">
        <v>6.631064013125898E-2</v>
      </c>
      <c r="EB64" s="8">
        <v>-2.6089082025985477E-2</v>
      </c>
      <c r="EC64" s="8">
        <v>8.5493234666790985E-2</v>
      </c>
      <c r="ED64" s="8">
        <v>3.8558256425543891E-2</v>
      </c>
      <c r="EE64" s="8">
        <v>-2.1694576331210469E-2</v>
      </c>
      <c r="EF64" s="8">
        <v>4.6053222235087343E-4</v>
      </c>
      <c r="EG64" s="8">
        <v>-5.8457381741190195E-2</v>
      </c>
      <c r="EH64" s="8">
        <v>-4.0021257821094947E-2</v>
      </c>
      <c r="EI64" s="8">
        <v>-0.10462223893479394</v>
      </c>
      <c r="EJ64" s="8">
        <v>5.4237207676875954E-2</v>
      </c>
      <c r="EK64" s="8">
        <v>-3.542154740543263E-2</v>
      </c>
      <c r="EL64" s="8">
        <v>2.0479492847298275E-2</v>
      </c>
      <c r="EM64" s="8">
        <v>-4.0312726520810249E-2</v>
      </c>
      <c r="EN64" s="8">
        <v>-8.5488518184462903E-2</v>
      </c>
      <c r="EO64" s="8">
        <v>0.10437042563406546</v>
      </c>
      <c r="EP64" s="8">
        <v>-2.8327265399352208E-2</v>
      </c>
      <c r="EQ64" s="8">
        <v>0.10120508974360176</v>
      </c>
      <c r="ER64" s="8">
        <v>3.304042197374224E-2</v>
      </c>
      <c r="ES64" s="8">
        <v>6.4253215217377369E-2</v>
      </c>
      <c r="ET64" s="8">
        <v>3.7235425161158964E-2</v>
      </c>
      <c r="EU64" s="8">
        <v>5.5484455290014667E-3</v>
      </c>
      <c r="EV64" s="8">
        <v>-1.5704946357495309E-2</v>
      </c>
      <c r="EW64" s="8">
        <v>0.11611347241803827</v>
      </c>
      <c r="EX64" s="8">
        <v>-1.1289919992334418E-2</v>
      </c>
      <c r="EY64" s="8">
        <v>3.5320935774709183E-2</v>
      </c>
      <c r="EZ64" s="8">
        <v>2.1429408398310423E-2</v>
      </c>
      <c r="FA64" s="8">
        <v>-7.24082894045599E-2</v>
      </c>
      <c r="FB64" s="8">
        <v>1.2380416137925565E-2</v>
      </c>
      <c r="FC64" s="8">
        <v>-5.7382210848550719E-2</v>
      </c>
      <c r="FD64" s="8">
        <v>-4.6189210032613059E-2</v>
      </c>
      <c r="FE64" s="8">
        <v>-7.9401315042261056E-2</v>
      </c>
      <c r="FF64" s="8">
        <v>4.8449770098876799E-2</v>
      </c>
      <c r="FG64" s="8">
        <v>-2.2825232191760247E-2</v>
      </c>
      <c r="FH64" s="8">
        <v>0.10844615651842643</v>
      </c>
      <c r="FI64" s="8">
        <v>9.2795343788914741E-2</v>
      </c>
      <c r="FJ64" s="8">
        <v>-3.6495972021974077E-2</v>
      </c>
      <c r="FK64" s="8">
        <v>-3.0828838708871653E-2</v>
      </c>
      <c r="FL64" s="8">
        <v>4.8208489044836045E-2</v>
      </c>
      <c r="FM64" s="8">
        <v>7.7033185722731656E-2</v>
      </c>
      <c r="FN64" s="8">
        <v>-6.5997964232386852E-2</v>
      </c>
      <c r="FO64" s="8">
        <v>-5.2535306915831692E-2</v>
      </c>
      <c r="FP64" s="8">
        <v>-1.4820270681693726E-2</v>
      </c>
      <c r="FQ64" s="8">
        <v>-6.5949250108835733E-2</v>
      </c>
      <c r="FR64" s="8">
        <v>-5.0915532290918164E-2</v>
      </c>
      <c r="FS64" s="8">
        <v>-6.744315644162574E-2</v>
      </c>
      <c r="FT64" s="8">
        <v>-5.1127362484342631E-2</v>
      </c>
      <c r="FU64" s="8">
        <v>2.0089551605152078E-2</v>
      </c>
      <c r="FV64" s="8">
        <v>3.8003327256513952E-2</v>
      </c>
      <c r="FW64" s="8">
        <v>6.0749032492006416E-2</v>
      </c>
      <c r="FX64" s="8">
        <v>-7.5278096342637546E-2</v>
      </c>
      <c r="FY64" s="8">
        <v>-1.0044854928732971E-3</v>
      </c>
      <c r="FZ64" s="8">
        <v>-2.6230012766654487E-2</v>
      </c>
      <c r="GA64" s="8">
        <v>-9.0564180731079302E-2</v>
      </c>
      <c r="GB64" s="8">
        <v>0.11561499722103613</v>
      </c>
      <c r="GC64" s="8">
        <v>-0.10236192151424389</v>
      </c>
      <c r="GD64" s="8">
        <v>5.8217682007040694E-3</v>
      </c>
      <c r="GE64" s="8">
        <v>3.8274561589221934E-2</v>
      </c>
      <c r="GF64" s="8">
        <v>3.3244443384789879E-2</v>
      </c>
      <c r="GG64" s="8">
        <v>-6.0538259293918872E-2</v>
      </c>
      <c r="GH64" s="8">
        <v>-5.0901627498589175E-2</v>
      </c>
      <c r="GI64" s="8">
        <v>6.3699619960128073E-3</v>
      </c>
      <c r="GJ64" s="8">
        <v>1.154137049382653E-2</v>
      </c>
      <c r="GK64" s="8">
        <v>-1.6458708034325642E-2</v>
      </c>
      <c r="GL64" s="8">
        <v>-4.1268826803713021E-2</v>
      </c>
      <c r="GM64" s="8">
        <v>8.5786580320090233E-3</v>
      </c>
      <c r="GN64" s="8">
        <v>0.1159054888463813</v>
      </c>
      <c r="GO64" s="8">
        <v>-2.8968917593328813E-2</v>
      </c>
      <c r="GP64" s="8">
        <v>3.5224361071734434E-2</v>
      </c>
      <c r="GQ64" s="8">
        <v>-0.1131335256986028</v>
      </c>
      <c r="GR64" s="8">
        <v>0.11180489444592751</v>
      </c>
      <c r="GS64" s="8">
        <v>1.976100045252871E-2</v>
      </c>
      <c r="GT64" s="8">
        <v>-3.5330434014709255E-2</v>
      </c>
      <c r="GU64" s="8">
        <v>1.4021810017227798E-2</v>
      </c>
      <c r="GV64" s="8">
        <v>-5.0481698264314145E-2</v>
      </c>
      <c r="GW64" s="8">
        <v>-6.1594799509355758E-2</v>
      </c>
      <c r="GX64" s="8">
        <v>-2.4528127831390634E-2</v>
      </c>
      <c r="GY64" s="8">
        <v>7.1069605971563976E-2</v>
      </c>
      <c r="GZ64" s="8">
        <v>-0.13495926185638757</v>
      </c>
      <c r="HA64" s="8">
        <v>2.4231255543385566E-2</v>
      </c>
      <c r="HB64" s="8">
        <v>8.9545085572626582E-2</v>
      </c>
      <c r="HC64" s="8">
        <v>-7.3693544742767958E-2</v>
      </c>
      <c r="HD64" s="8">
        <v>2.6075752503383343E-2</v>
      </c>
      <c r="HE64" s="8">
        <v>-5.070813658517942E-2</v>
      </c>
      <c r="HF64" s="8">
        <v>-3.0551919125237414E-2</v>
      </c>
      <c r="HG64" s="8">
        <v>6.172145852969213E-2</v>
      </c>
      <c r="HH64" s="8">
        <v>7.3383423331828346E-2</v>
      </c>
      <c r="HI64" s="8">
        <v>-2.9205312016521656E-2</v>
      </c>
      <c r="HJ64" s="8">
        <v>-9.3904183167502764E-2</v>
      </c>
      <c r="HK64" s="8">
        <v>-3.0986026673176736E-2</v>
      </c>
      <c r="HL64" s="8">
        <v>5.8388456003410194E-2</v>
      </c>
      <c r="HM64" s="8">
        <v>7.056873152755827E-3</v>
      </c>
      <c r="HN64" s="8">
        <v>4.4820193434228661E-2</v>
      </c>
      <c r="HO64" s="8">
        <v>0.22253442093321774</v>
      </c>
      <c r="HP64" s="8">
        <v>1.6259330685373885E-2</v>
      </c>
      <c r="HQ64" s="8">
        <v>-9.1324401195585103E-2</v>
      </c>
      <c r="HR64" s="8">
        <v>2.912153544588264E-2</v>
      </c>
      <c r="HS64" s="8">
        <v>8.1024096963246084E-2</v>
      </c>
      <c r="HT64" s="8">
        <v>1.2101961365756531E-2</v>
      </c>
      <c r="HU64" s="8">
        <v>5.9190236504270466E-2</v>
      </c>
      <c r="HV64" s="8">
        <v>-7.4886510692061037E-2</v>
      </c>
      <c r="HW64" s="8">
        <v>0.16104343955522132</v>
      </c>
      <c r="HX64" s="8">
        <v>2.5745088049752674E-2</v>
      </c>
      <c r="HY64" s="8">
        <v>2.0602534806754891E-2</v>
      </c>
      <c r="HZ64" s="8">
        <v>-3.7310410847288755E-2</v>
      </c>
      <c r="IA64" s="8">
        <v>4.6507535212095608E-2</v>
      </c>
      <c r="IB64" s="8">
        <v>1.1240002861385379E-2</v>
      </c>
      <c r="IC64" s="8">
        <v>-2.4523585476500021E-2</v>
      </c>
      <c r="ID64" s="8">
        <v>-8.4702507377924507E-3</v>
      </c>
      <c r="IE64" s="8">
        <v>6.2769576610143873E-2</v>
      </c>
      <c r="IF64" s="8">
        <v>-3.4119887668783544E-2</v>
      </c>
      <c r="IG64" s="8">
        <v>0.12787597028846537</v>
      </c>
      <c r="IH64" s="8">
        <v>-0.14442668576933865</v>
      </c>
      <c r="II64" s="8">
        <v>6.6984444383064612E-2</v>
      </c>
      <c r="IJ64" s="8">
        <v>-4.1179685303135705E-2</v>
      </c>
      <c r="IK64" s="8">
        <v>7.9482339265705415E-2</v>
      </c>
      <c r="IL64" s="8">
        <v>2.6488863937311868E-2</v>
      </c>
      <c r="IM64" s="8">
        <v>-4.8874667881053602E-2</v>
      </c>
      <c r="IN64" s="8">
        <v>5.7593398344485347E-2</v>
      </c>
      <c r="IO64" s="8">
        <v>-2.0626105609119094E-2</v>
      </c>
      <c r="IP64" s="8">
        <v>-4.1020706905468662E-2</v>
      </c>
      <c r="IQ64" s="8">
        <v>5.7387228492248143E-2</v>
      </c>
      <c r="IR64" s="8">
        <v>-7.2633085615242787E-2</v>
      </c>
      <c r="IS64" s="8">
        <v>2.3047144287338062E-2</v>
      </c>
      <c r="IT64" s="8">
        <v>1.4729778150021411E-2</v>
      </c>
    </row>
    <row r="65" spans="1:254" s="11" customFormat="1" x14ac:dyDescent="0.2">
      <c r="A65" s="10"/>
      <c r="B65" s="12">
        <v>3</v>
      </c>
      <c r="C65" s="2">
        <f t="shared" si="43"/>
        <v>2.7099854012730244E-2</v>
      </c>
      <c r="D65" s="3">
        <f t="shared" si="44"/>
        <v>8.5079637556370102E-2</v>
      </c>
      <c r="E65" s="8">
        <v>-0.20946568468434157</v>
      </c>
      <c r="F65" s="8">
        <v>-4.1269100006362913E-2</v>
      </c>
      <c r="G65" s="8">
        <v>5.0752358571695799E-2</v>
      </c>
      <c r="H65" s="8">
        <v>-3.9750584009449474E-2</v>
      </c>
      <c r="I65" s="8">
        <v>-9.4576863897175012E-3</v>
      </c>
      <c r="J65" s="8">
        <v>6.0281178380513278E-2</v>
      </c>
      <c r="K65" s="8">
        <v>-8.043958934190798E-3</v>
      </c>
      <c r="L65" s="8">
        <v>0.13130927334561787</v>
      </c>
      <c r="M65" s="8">
        <v>-9.5842890003221826E-2</v>
      </c>
      <c r="N65" s="8">
        <v>-2.2239073858445868E-2</v>
      </c>
      <c r="O65" s="8">
        <v>-5.1443848531859071E-2</v>
      </c>
      <c r="P65" s="8">
        <v>-3.7094218830278969E-2</v>
      </c>
      <c r="Q65" s="8">
        <v>-1.4504335165380688E-2</v>
      </c>
      <c r="R65" s="8">
        <v>-4.2389394116898738E-2</v>
      </c>
      <c r="S65" s="8">
        <v>-1.495112132925186E-2</v>
      </c>
      <c r="T65" s="8">
        <v>-2.6585686932890651E-3</v>
      </c>
      <c r="U65" s="8">
        <v>-8.2756098436944481E-2</v>
      </c>
      <c r="V65" s="8">
        <v>6.8457643400467505E-2</v>
      </c>
      <c r="W65" s="8">
        <v>1.2445606817352017E-2</v>
      </c>
      <c r="X65" s="8">
        <v>1.0195004388240836E-2</v>
      </c>
      <c r="Y65" s="8">
        <v>-0.15006268812222384</v>
      </c>
      <c r="Z65" s="8">
        <v>-0.1714788477187269</v>
      </c>
      <c r="AA65" s="8">
        <v>-1.9292027183826999E-2</v>
      </c>
      <c r="AB65" s="8">
        <v>3.4157298648940571E-2</v>
      </c>
      <c r="AC65" s="8">
        <v>1.0027764330241107E-2</v>
      </c>
      <c r="AD65" s="8">
        <v>-2.1840226659262385E-2</v>
      </c>
      <c r="AE65" s="8">
        <v>8.6111614756407218E-2</v>
      </c>
      <c r="AF65" s="8">
        <v>-0.11803863262731018</v>
      </c>
      <c r="AG65" s="8">
        <v>2.0570474827254159E-2</v>
      </c>
      <c r="AH65" s="8">
        <v>6.0972065461005309E-2</v>
      </c>
      <c r="AI65" s="8">
        <v>-3.9640355454950538E-2</v>
      </c>
      <c r="AJ65" s="8">
        <v>4.336945511707091E-2</v>
      </c>
      <c r="AK65" s="8">
        <v>-4.7450723674275497E-2</v>
      </c>
      <c r="AL65" s="8">
        <v>-2.8889847260429813E-2</v>
      </c>
      <c r="AM65" s="8">
        <v>7.6690842008433735E-2</v>
      </c>
      <c r="AN65" s="8">
        <v>1.2670285341546961E-2</v>
      </c>
      <c r="AO65" s="8">
        <v>-6.7896378890555331E-2</v>
      </c>
      <c r="AP65" s="8">
        <v>6.1907113295087579E-2</v>
      </c>
      <c r="AQ65" s="8">
        <v>-9.1750986521760114E-2</v>
      </c>
      <c r="AR65" s="8">
        <v>4.2541590840468657E-2</v>
      </c>
      <c r="AS65" s="8">
        <v>2.9093977594396858E-2</v>
      </c>
      <c r="AT65" s="8">
        <v>-3.3081203170244211E-2</v>
      </c>
      <c r="AU65" s="8">
        <v>-6.7086178607325075E-2</v>
      </c>
      <c r="AV65" s="8">
        <v>0.1546699137758058</v>
      </c>
      <c r="AW65" s="8">
        <v>1.8029532628949629E-2</v>
      </c>
      <c r="AX65" s="8">
        <v>2.2447528109428072E-2</v>
      </c>
      <c r="AY65" s="8">
        <v>3.8555637901499074E-2</v>
      </c>
      <c r="AZ65" s="8">
        <v>-8.5262854797914178E-2</v>
      </c>
      <c r="BA65" s="8">
        <v>-0.11629000534779216</v>
      </c>
      <c r="BB65" s="8">
        <v>5.0190291406812637E-2</v>
      </c>
      <c r="BC65" s="8">
        <v>-0.11563630155588567</v>
      </c>
      <c r="BD65" s="8">
        <v>-3.1797429928398457E-2</v>
      </c>
      <c r="BE65" s="8">
        <v>0.1013457519052301</v>
      </c>
      <c r="BF65" s="8">
        <v>2.8825801295672304E-2</v>
      </c>
      <c r="BG65" s="8">
        <v>0.21303507714208247</v>
      </c>
      <c r="BH65" s="8">
        <v>-5.2862740410252906E-2</v>
      </c>
      <c r="BI65" s="8">
        <v>-2.2728099400266488E-2</v>
      </c>
      <c r="BJ65" s="8">
        <v>1.2298250835829361E-3</v>
      </c>
      <c r="BK65" s="8">
        <v>2.728395096855013E-2</v>
      </c>
      <c r="BL65" s="8">
        <v>8.5293911071530115E-2</v>
      </c>
      <c r="BM65" s="8">
        <v>8.005075654292082E-2</v>
      </c>
      <c r="BN65" s="8">
        <v>0.10430533715312235</v>
      </c>
      <c r="BO65" s="8">
        <v>-0.11435108522381104</v>
      </c>
      <c r="BP65" s="8">
        <v>1.3019482390038306E-2</v>
      </c>
      <c r="BQ65" s="8">
        <v>9.5760973041041808E-2</v>
      </c>
      <c r="BR65" s="8">
        <v>-4.6401575248348426E-2</v>
      </c>
      <c r="BS65" s="8">
        <v>8.4381374877754434E-2</v>
      </c>
      <c r="BT65" s="8">
        <v>-5.1390428468764682E-2</v>
      </c>
      <c r="BU65" s="8">
        <v>2.2455214352383346E-2</v>
      </c>
      <c r="BV65" s="8">
        <v>8.4136798205138474E-2</v>
      </c>
      <c r="BW65" s="8">
        <v>-9.5297517205883975E-3</v>
      </c>
      <c r="BX65" s="8">
        <v>-0.10649324266186017</v>
      </c>
      <c r="BY65" s="8">
        <v>-1.0531129923451732E-3</v>
      </c>
      <c r="BZ65" s="8">
        <v>1.5224509060910663E-2</v>
      </c>
      <c r="CA65" s="8">
        <v>3.1180733835234009E-2</v>
      </c>
      <c r="CB65" s="8">
        <v>4.8567130950714077E-2</v>
      </c>
      <c r="CC65" s="8">
        <v>7.1822973598757278E-2</v>
      </c>
      <c r="CD65" s="8">
        <v>0.14179369562484628</v>
      </c>
      <c r="CE65" s="8">
        <v>4.3305538760385898E-2</v>
      </c>
      <c r="CF65" s="8">
        <v>-4.2728811681220946E-2</v>
      </c>
      <c r="CG65" s="8">
        <v>-1.1546603005529066E-2</v>
      </c>
      <c r="CH65" s="8">
        <v>5.1050992208620249E-2</v>
      </c>
      <c r="CI65" s="8">
        <v>-6.0429810287882357E-2</v>
      </c>
      <c r="CJ65" s="8">
        <v>1.6486575425155081E-2</v>
      </c>
      <c r="CK65" s="8">
        <v>-2.0033119536310318E-2</v>
      </c>
      <c r="CL65" s="8">
        <v>5.9559951437776537E-2</v>
      </c>
      <c r="CM65" s="8">
        <v>1.7518518291693208E-2</v>
      </c>
      <c r="CN65" s="8">
        <v>-1.6899807185231652E-3</v>
      </c>
      <c r="CO65" s="8">
        <v>-1.4839402150751191E-2</v>
      </c>
      <c r="CP65" s="8">
        <v>5.0895514304568845E-2</v>
      </c>
      <c r="CQ65" s="8">
        <v>9.6875980633399583E-2</v>
      </c>
      <c r="CR65" s="8">
        <v>7.5877679526454855E-3</v>
      </c>
      <c r="CS65" s="8">
        <v>-0.13665553861535368</v>
      </c>
      <c r="CT65" s="8">
        <v>3.026844181970062E-2</v>
      </c>
      <c r="CU65" s="8">
        <v>-0.11802935456547242</v>
      </c>
      <c r="CV65" s="8">
        <v>-2.5779205973091524E-2</v>
      </c>
      <c r="CW65" s="8">
        <v>4.3272365672491098E-2</v>
      </c>
      <c r="CX65" s="8">
        <v>-4.9224547268124919E-2</v>
      </c>
      <c r="CY65" s="8">
        <v>0.12424259676232607</v>
      </c>
      <c r="CZ65" s="8">
        <v>9.0259440178919625E-2</v>
      </c>
      <c r="DA65" s="8">
        <v>8.5079637556370102E-2</v>
      </c>
      <c r="DB65" s="8">
        <v>1.2831910085460918E-2</v>
      </c>
      <c r="DC65" s="8">
        <v>-3.868594590174973E-2</v>
      </c>
      <c r="DD65" s="8">
        <v>-2.4494708317235381E-2</v>
      </c>
      <c r="DE65" s="8">
        <v>3.8116381300639268E-2</v>
      </c>
      <c r="DF65" s="8">
        <v>4.025491356001909E-2</v>
      </c>
      <c r="DG65" s="8">
        <v>-0.11114722857676212</v>
      </c>
      <c r="DH65" s="8">
        <v>-3.2656466182359623E-2</v>
      </c>
      <c r="DI65" s="8">
        <v>-3.0184645298142188E-2</v>
      </c>
      <c r="DJ65" s="8">
        <v>1.3310942403920223E-2</v>
      </c>
      <c r="DK65" s="8">
        <v>-1.018411200375291E-2</v>
      </c>
      <c r="DL65" s="8">
        <v>-7.6440462095568817E-2</v>
      </c>
      <c r="DM65" s="8">
        <v>-6.0524426581612889E-2</v>
      </c>
      <c r="DN65" s="8">
        <v>-3.327291428175011E-2</v>
      </c>
      <c r="DO65" s="8">
        <v>-8.2542857622514398E-2</v>
      </c>
      <c r="DP65" s="8">
        <v>0.12872703431145199</v>
      </c>
      <c r="DQ65" s="8">
        <v>1.0687270238893876E-2</v>
      </c>
      <c r="DR65" s="8">
        <v>5.8444327158444498E-3</v>
      </c>
      <c r="DS65" s="8">
        <v>0.10482643448893419</v>
      </c>
      <c r="DT65" s="8">
        <v>-1.9737190386064418E-2</v>
      </c>
      <c r="DU65" s="8">
        <v>-7.8016543305776065E-2</v>
      </c>
      <c r="DV65" s="8">
        <v>-2.3307882897454779E-2</v>
      </c>
      <c r="DW65" s="8">
        <v>-3.3423290940486405E-2</v>
      </c>
      <c r="DX65" s="8">
        <v>1.0593542637091724E-2</v>
      </c>
      <c r="DY65" s="8">
        <v>6.047092563945311E-3</v>
      </c>
      <c r="DZ65" s="8">
        <v>-0.10102133761281556</v>
      </c>
      <c r="EA65" s="8">
        <v>6.9649237314085677E-2</v>
      </c>
      <c r="EB65" s="8">
        <v>-2.1726006445339729E-2</v>
      </c>
      <c r="EC65" s="8">
        <v>0.1382129079902748</v>
      </c>
      <c r="ED65" s="8">
        <v>3.8631503031029302E-2</v>
      </c>
      <c r="EE65" s="8">
        <v>-3.6431613966554699E-2</v>
      </c>
      <c r="EF65" s="8">
        <v>-1.7077866037875367E-2</v>
      </c>
      <c r="EG65" s="8">
        <v>-6.7632094983690216E-2</v>
      </c>
      <c r="EH65" s="8">
        <v>-4.6225076280559108E-2</v>
      </c>
      <c r="EI65" s="8">
        <v>-0.11385864539990115</v>
      </c>
      <c r="EJ65" s="8">
        <v>2.2979737815716272E-2</v>
      </c>
      <c r="EK65" s="8">
        <v>-4.8896321563060452E-2</v>
      </c>
      <c r="EL65" s="8">
        <v>7.8395816314950073E-3</v>
      </c>
      <c r="EM65" s="8">
        <v>-4.9940556976837414E-2</v>
      </c>
      <c r="EN65" s="8">
        <v>-7.0210136564362424E-2</v>
      </c>
      <c r="EO65" s="8">
        <v>9.3368622615320973E-2</v>
      </c>
      <c r="EP65" s="8">
        <v>1.7779155348124298E-2</v>
      </c>
      <c r="EQ65" s="8">
        <v>6.5434024740533003E-2</v>
      </c>
      <c r="ER65" s="8">
        <v>2.069900142458142E-2</v>
      </c>
      <c r="ES65" s="8">
        <v>8.3341490786891792E-2</v>
      </c>
      <c r="ET65" s="8">
        <v>-8.4490870649053806E-3</v>
      </c>
      <c r="EU65" s="8">
        <v>1.0689259465395062E-2</v>
      </c>
      <c r="EV65" s="8">
        <v>-1.1158109703568286E-2</v>
      </c>
      <c r="EW65" s="8">
        <v>9.8779011914296166E-2</v>
      </c>
      <c r="EX65" s="8">
        <v>-1.2628636193330212E-2</v>
      </c>
      <c r="EY65" s="8">
        <v>5.462459750005938E-2</v>
      </c>
      <c r="EZ65" s="8">
        <v>4.4494223637735253E-2</v>
      </c>
      <c r="FA65" s="8">
        <v>-6.970435999607022E-2</v>
      </c>
      <c r="FB65" s="8">
        <v>4.7119904053554762E-2</v>
      </c>
      <c r="FC65" s="8">
        <v>-5.7356878790636612E-2</v>
      </c>
      <c r="FD65" s="8">
        <v>-2.1996404244617185E-2</v>
      </c>
      <c r="FE65" s="8">
        <v>-5.9342610343373903E-2</v>
      </c>
      <c r="FF65" s="8">
        <v>5.032558995612918E-2</v>
      </c>
      <c r="FG65" s="8">
        <v>1.2161110267650488E-2</v>
      </c>
      <c r="FH65" s="8">
        <v>8.332447664956677E-2</v>
      </c>
      <c r="FI65" s="8">
        <v>2.5307498931003591E-2</v>
      </c>
      <c r="FJ65" s="8">
        <v>-4.0018493726579007E-2</v>
      </c>
      <c r="FK65" s="8">
        <v>-1.9355714461166684E-4</v>
      </c>
      <c r="FL65" s="8">
        <v>3.7665687589408248E-2</v>
      </c>
      <c r="FM65" s="8">
        <v>9.1751230037156628E-2</v>
      </c>
      <c r="FN65" s="8">
        <v>-7.1564501696172955E-2</v>
      </c>
      <c r="FO65" s="8">
        <v>-2.5637726711021658E-2</v>
      </c>
      <c r="FP65" s="8">
        <v>-3.701152369204691E-2</v>
      </c>
      <c r="FQ65" s="8">
        <v>-6.7554057764669884E-2</v>
      </c>
      <c r="FR65" s="8">
        <v>-6.1228316932209981E-2</v>
      </c>
      <c r="FS65" s="8">
        <v>-6.7404329143639419E-2</v>
      </c>
      <c r="FT65" s="8">
        <v>-6.4688709879353046E-2</v>
      </c>
      <c r="FU65" s="8">
        <v>-6.7073928095459645E-3</v>
      </c>
      <c r="FV65" s="8">
        <v>7.6490840783415337E-2</v>
      </c>
      <c r="FW65" s="8">
        <v>6.8281812176989087E-2</v>
      </c>
      <c r="FX65" s="8">
        <v>-3.3975797377677641E-2</v>
      </c>
      <c r="FY65" s="8">
        <v>-1.1470451065761333E-2</v>
      </c>
      <c r="FZ65" s="8">
        <v>-4.4983333191787211E-2</v>
      </c>
      <c r="GA65" s="8">
        <v>-8.9900764272306366E-2</v>
      </c>
      <c r="GB65" s="8">
        <v>8.500225142594181E-2</v>
      </c>
      <c r="GC65" s="8">
        <v>-0.10284995143722142</v>
      </c>
      <c r="GD65" s="8">
        <v>-1.2855220243452647E-2</v>
      </c>
      <c r="GE65" s="8">
        <v>4.0190749747308741E-2</v>
      </c>
      <c r="GF65" s="8">
        <v>5.8942876704951297E-2</v>
      </c>
      <c r="GG65" s="8">
        <v>-6.5968417771819665E-2</v>
      </c>
      <c r="GH65" s="8">
        <v>-3.9774561673218745E-2</v>
      </c>
      <c r="GI65" s="8">
        <v>9.8198017085495137E-3</v>
      </c>
      <c r="GJ65" s="8">
        <v>-2.6383169427981301E-2</v>
      </c>
      <c r="GK65" s="8">
        <v>-2.5767481202003395E-2</v>
      </c>
      <c r="GL65" s="8">
        <v>-1.9798036158887145E-2</v>
      </c>
      <c r="GM65" s="8">
        <v>-9.7023508618807042E-3</v>
      </c>
      <c r="GN65" s="8">
        <v>0.10388516272517268</v>
      </c>
      <c r="GO65" s="8">
        <v>-3.2809215194113894E-2</v>
      </c>
      <c r="GP65" s="8">
        <v>1.3591390510109103E-2</v>
      </c>
      <c r="GQ65" s="8">
        <v>-0.11091134682003329</v>
      </c>
      <c r="GR65" s="8">
        <v>0.10021139132111451</v>
      </c>
      <c r="GS65" s="8">
        <v>6.7675520865174144E-3</v>
      </c>
      <c r="GT65" s="8">
        <v>-3.4380811535531686E-2</v>
      </c>
      <c r="GU65" s="8">
        <v>-9.8698003834883918E-3</v>
      </c>
      <c r="GV65" s="8">
        <v>-4.5665082641136501E-2</v>
      </c>
      <c r="GW65" s="8">
        <v>-7.6968090451317861E-2</v>
      </c>
      <c r="GX65" s="8">
        <v>-2.911643256922275E-2</v>
      </c>
      <c r="GY65" s="8">
        <v>7.8231317133795331E-2</v>
      </c>
      <c r="GZ65" s="8">
        <v>-0.12818992898778797</v>
      </c>
      <c r="HA65" s="8">
        <v>5.1922706270317476E-2</v>
      </c>
      <c r="HB65" s="8">
        <v>0.13565005676211794</v>
      </c>
      <c r="HC65" s="8">
        <v>-0.11098950931437723</v>
      </c>
      <c r="HD65" s="8">
        <v>-1.9743342451191637E-2</v>
      </c>
      <c r="HE65" s="8">
        <v>-4.1853659697607515E-2</v>
      </c>
      <c r="HF65" s="8">
        <v>-5.1333511207594162E-2</v>
      </c>
      <c r="HG65" s="8">
        <v>5.2127545236883399E-2</v>
      </c>
      <c r="HH65" s="8">
        <v>7.3107401220341317E-2</v>
      </c>
      <c r="HI65" s="8">
        <v>-4.9966117863505299E-2</v>
      </c>
      <c r="HJ65" s="8">
        <v>-8.7553751826432047E-2</v>
      </c>
      <c r="HK65" s="8">
        <v>3.5510595871207085E-3</v>
      </c>
      <c r="HL65" s="8">
        <v>4.8917832125509153E-2</v>
      </c>
      <c r="HM65" s="8">
        <v>-1.7186240405988762E-2</v>
      </c>
      <c r="HN65" s="8">
        <v>6.2448506678274451E-2</v>
      </c>
      <c r="HO65" s="8">
        <v>0.17807659201274317</v>
      </c>
      <c r="HP65" s="8">
        <v>2.1692002326495929E-2</v>
      </c>
      <c r="HQ65" s="8">
        <v>-0.10492462913512712</v>
      </c>
      <c r="HR65" s="8">
        <v>3.6712177225601661E-2</v>
      </c>
      <c r="HS65" s="8">
        <v>7.963369883322946E-2</v>
      </c>
      <c r="HT65" s="8">
        <v>3.230060808786106E-2</v>
      </c>
      <c r="HU65" s="8">
        <v>9.3269873390003311E-2</v>
      </c>
      <c r="HV65" s="8">
        <v>-8.7989148383248728E-2</v>
      </c>
      <c r="HW65" s="8">
        <v>0.16948197651560221</v>
      </c>
      <c r="HX65" s="8">
        <v>7.8249962820726604E-2</v>
      </c>
      <c r="HY65" s="8">
        <v>-1.290107183787137E-3</v>
      </c>
      <c r="HZ65" s="8">
        <v>-3.7527001627299772E-2</v>
      </c>
      <c r="IA65" s="8">
        <v>6.3790557721538854E-2</v>
      </c>
      <c r="IB65" s="8">
        <v>3.7593751505881623E-2</v>
      </c>
      <c r="IC65" s="8">
        <v>4.0430863262235772E-3</v>
      </c>
      <c r="ID65" s="8">
        <v>-1.1063143699925948E-2</v>
      </c>
      <c r="IE65" s="8">
        <v>4.5539683373653272E-2</v>
      </c>
      <c r="IF65" s="8">
        <v>-2.9857600007887564E-2</v>
      </c>
      <c r="IG65" s="8">
        <v>0.11032471538174016</v>
      </c>
      <c r="IH65" s="8">
        <v>-0.10357414565584605</v>
      </c>
      <c r="II65" s="8">
        <v>5.6063980619021569E-2</v>
      </c>
      <c r="IJ65" s="8">
        <v>-2.8440730228709632E-2</v>
      </c>
      <c r="IK65" s="8">
        <v>7.6440655108739486E-2</v>
      </c>
      <c r="IL65" s="8">
        <v>-7.5505774485776223E-3</v>
      </c>
      <c r="IM65" s="8">
        <v>-4.4757949637191985E-2</v>
      </c>
      <c r="IN65" s="8">
        <v>3.6426214095204856E-2</v>
      </c>
      <c r="IO65" s="8">
        <v>1.58745083876492E-2</v>
      </c>
      <c r="IP65" s="8">
        <v>-5.9685140104413947E-2</v>
      </c>
      <c r="IQ65" s="8">
        <v>2.2715082580308799E-2</v>
      </c>
      <c r="IR65" s="8">
        <v>-8.4775400396910339E-2</v>
      </c>
      <c r="IS65" s="8">
        <v>6.1324660889550131E-4</v>
      </c>
      <c r="IT65" s="8">
        <v>-6.3035343759049178E-3</v>
      </c>
    </row>
    <row r="66" spans="1:254" s="11" customFormat="1" x14ac:dyDescent="0.2">
      <c r="A66" s="10"/>
      <c r="B66" s="12">
        <v>3.25</v>
      </c>
      <c r="C66" s="2">
        <f t="shared" si="43"/>
        <v>2.7238433323826142E-2</v>
      </c>
      <c r="D66" s="3">
        <f t="shared" si="44"/>
        <v>9.3884080179426177E-2</v>
      </c>
      <c r="E66" s="8">
        <v>-0.18465434727163033</v>
      </c>
      <c r="F66" s="8">
        <v>-6.4931977781028605E-2</v>
      </c>
      <c r="G66" s="8">
        <v>6.6726792625694642E-2</v>
      </c>
      <c r="H66" s="8">
        <v>-2.7223756145805189E-2</v>
      </c>
      <c r="I66" s="8">
        <v>-1.1281735631190837E-2</v>
      </c>
      <c r="J66" s="8">
        <v>3.2561965055142639E-2</v>
      </c>
      <c r="K66" s="8">
        <v>-4.3085742903851698E-3</v>
      </c>
      <c r="L66" s="8">
        <v>0.1302998285065376</v>
      </c>
      <c r="M66" s="8">
        <v>-8.2439720042309428E-2</v>
      </c>
      <c r="N66" s="8">
        <v>-2.0272204838880536E-2</v>
      </c>
      <c r="O66" s="8">
        <v>-6.4273507082389714E-2</v>
      </c>
      <c r="P66" s="8">
        <v>-3.3769797850009164E-2</v>
      </c>
      <c r="Q66" s="8">
        <v>3.4224890922506412E-2</v>
      </c>
      <c r="R66" s="8">
        <v>-3.291344282176073E-2</v>
      </c>
      <c r="S66" s="8">
        <v>-3.2319240934934546E-2</v>
      </c>
      <c r="T66" s="8">
        <v>1.6398987610665883E-2</v>
      </c>
      <c r="U66" s="8">
        <v>-8.2772169738157375E-2</v>
      </c>
      <c r="V66" s="8">
        <v>1.6083696870972275E-2</v>
      </c>
      <c r="W66" s="8">
        <v>1.1664515627128835E-2</v>
      </c>
      <c r="X66" s="8">
        <v>-3.9197572202542275E-3</v>
      </c>
      <c r="Y66" s="8">
        <v>-0.17251648148376691</v>
      </c>
      <c r="Z66" s="8">
        <v>-0.15889078564243175</v>
      </c>
      <c r="AA66" s="8">
        <v>-5.5590904579322253E-2</v>
      </c>
      <c r="AB66" s="8">
        <v>1.3493986168126471E-2</v>
      </c>
      <c r="AC66" s="8">
        <v>1.7234879669550229E-2</v>
      </c>
      <c r="AD66" s="8">
        <v>-1.1147946875149362E-2</v>
      </c>
      <c r="AE66" s="8">
        <v>9.414828109168305E-2</v>
      </c>
      <c r="AF66" s="8">
        <v>-0.12445401635573716</v>
      </c>
      <c r="AG66" s="8">
        <v>-9.6791271698632997E-3</v>
      </c>
      <c r="AH66" s="8">
        <v>4.672332128264528E-2</v>
      </c>
      <c r="AI66" s="8">
        <v>-5.2898230130687118E-2</v>
      </c>
      <c r="AJ66" s="8">
        <v>4.0466054418480224E-2</v>
      </c>
      <c r="AK66" s="8">
        <v>-5.4707792182095427E-2</v>
      </c>
      <c r="AL66" s="8">
        <v>-1.7901205222862426E-2</v>
      </c>
      <c r="AM66" s="8">
        <v>9.8831901431027158E-2</v>
      </c>
      <c r="AN66" s="8">
        <v>-5.4798435102257348E-3</v>
      </c>
      <c r="AO66" s="8">
        <v>-6.0622974395627027E-2</v>
      </c>
      <c r="AP66" s="8">
        <v>5.4206803835969319E-2</v>
      </c>
      <c r="AQ66" s="8">
        <v>-8.3903536707753135E-2</v>
      </c>
      <c r="AR66" s="8">
        <v>5.0817067082953304E-2</v>
      </c>
      <c r="AS66" s="8">
        <v>5.7492640382196036E-2</v>
      </c>
      <c r="AT66" s="8">
        <v>-6.0532496718594397E-3</v>
      </c>
      <c r="AU66" s="8">
        <v>-4.1205371451370876E-2</v>
      </c>
      <c r="AV66" s="8">
        <v>0.14573673095959383</v>
      </c>
      <c r="AW66" s="8">
        <v>5.3877536536920123E-2</v>
      </c>
      <c r="AX66" s="8">
        <v>-9.0223311899423342E-3</v>
      </c>
      <c r="AY66" s="8">
        <v>2.7602296918381009E-2</v>
      </c>
      <c r="AZ66" s="8">
        <v>-6.4485757516035302E-2</v>
      </c>
      <c r="BA66" s="8">
        <v>-0.10148040547261694</v>
      </c>
      <c r="BB66" s="8">
        <v>2.028520817801055E-2</v>
      </c>
      <c r="BC66" s="8">
        <v>-0.12800593810729566</v>
      </c>
      <c r="BD66" s="8">
        <v>3.2731138273795479E-3</v>
      </c>
      <c r="BE66" s="8">
        <v>0.13528988898156624</v>
      </c>
      <c r="BF66" s="8">
        <v>1.5771650370956902E-2</v>
      </c>
      <c r="BG66" s="8">
        <v>0.21142166687399272</v>
      </c>
      <c r="BH66" s="8">
        <v>-6.936325453799963E-2</v>
      </c>
      <c r="BI66" s="8">
        <v>-2.0157861804483479E-2</v>
      </c>
      <c r="BJ66" s="8">
        <v>-9.0067300863204136E-3</v>
      </c>
      <c r="BK66" s="8">
        <v>1.4619070591759209E-2</v>
      </c>
      <c r="BL66" s="8">
        <v>8.3893031410710583E-2</v>
      </c>
      <c r="BM66" s="8">
        <v>0.10286498838936486</v>
      </c>
      <c r="BN66" s="8">
        <v>0.10378514821160151</v>
      </c>
      <c r="BO66" s="8">
        <v>-0.10828624993761832</v>
      </c>
      <c r="BP66" s="8">
        <v>8.6158964303157393E-3</v>
      </c>
      <c r="BQ66" s="8">
        <v>6.404650056175315E-2</v>
      </c>
      <c r="BR66" s="8">
        <v>-2.4116657986409995E-2</v>
      </c>
      <c r="BS66" s="8">
        <v>7.2733849271832518E-2</v>
      </c>
      <c r="BT66" s="8">
        <v>-5.8566274955792919E-2</v>
      </c>
      <c r="BU66" s="8">
        <v>-6.0209619259893321E-3</v>
      </c>
      <c r="BV66" s="8">
        <v>8.1638728416036421E-2</v>
      </c>
      <c r="BW66" s="8">
        <v>1.5555215856594029E-2</v>
      </c>
      <c r="BX66" s="8">
        <v>-0.11470266348516256</v>
      </c>
      <c r="BY66" s="8">
        <v>-5.006533418943393E-2</v>
      </c>
      <c r="BZ66" s="8">
        <v>1.330192303843003E-2</v>
      </c>
      <c r="CA66" s="8">
        <v>2.1636309329380321E-2</v>
      </c>
      <c r="CB66" s="8">
        <v>1.6958212064495604E-2</v>
      </c>
      <c r="CC66" s="8">
        <v>7.752147934844672E-2</v>
      </c>
      <c r="CD66" s="8">
        <v>0.18110622928399978</v>
      </c>
      <c r="CE66" s="8">
        <v>6.3820833876515437E-2</v>
      </c>
      <c r="CF66" s="8">
        <v>-3.9625783039371421E-2</v>
      </c>
      <c r="CG66" s="8">
        <v>-7.1611078019351293E-3</v>
      </c>
      <c r="CH66" s="8">
        <v>5.7032257069464354E-2</v>
      </c>
      <c r="CI66" s="8">
        <v>-5.7103674337023458E-2</v>
      </c>
      <c r="CJ66" s="8">
        <v>-1.0647373783492231E-3</v>
      </c>
      <c r="CK66" s="8">
        <v>1.4989019494768108E-2</v>
      </c>
      <c r="CL66" s="8">
        <v>6.0012439217446756E-2</v>
      </c>
      <c r="CM66" s="8">
        <v>7.0666321981547653E-2</v>
      </c>
      <c r="CN66" s="8">
        <v>-7.1553560503504476E-3</v>
      </c>
      <c r="CO66" s="8">
        <v>-3.6970875516354251E-2</v>
      </c>
      <c r="CP66" s="8">
        <v>3.6964588005168386E-2</v>
      </c>
      <c r="CQ66" s="8">
        <v>5.5679338604843531E-2</v>
      </c>
      <c r="CR66" s="8">
        <v>2.3857584685084809E-2</v>
      </c>
      <c r="CS66" s="8">
        <v>-9.6916127441487532E-2</v>
      </c>
      <c r="CT66" s="8">
        <v>2.3585988047238604E-2</v>
      </c>
      <c r="CU66" s="8">
        <v>-9.4332430654415655E-2</v>
      </c>
      <c r="CV66" s="8">
        <v>-3.0632519961649562E-2</v>
      </c>
      <c r="CW66" s="8">
        <v>4.0731376080091974E-2</v>
      </c>
      <c r="CX66" s="8">
        <v>-1.5235018636157616E-2</v>
      </c>
      <c r="CY66" s="8">
        <v>9.3884080179426177E-2</v>
      </c>
      <c r="CZ66" s="8">
        <v>0.10439520696415167</v>
      </c>
      <c r="DA66" s="8">
        <v>5.6841351507249116E-2</v>
      </c>
      <c r="DB66" s="8">
        <v>1.4365254278517203E-3</v>
      </c>
      <c r="DC66" s="8">
        <v>-1.2281012852174256E-2</v>
      </c>
      <c r="DD66" s="8">
        <v>-4.4091426202225781E-2</v>
      </c>
      <c r="DE66" s="8">
        <v>2.1439859459541688E-2</v>
      </c>
      <c r="DF66" s="8">
        <v>3.2936821083819456E-2</v>
      </c>
      <c r="DG66" s="8">
        <v>-0.1229812619769261</v>
      </c>
      <c r="DH66" s="8">
        <v>-3.523039458706656E-2</v>
      </c>
      <c r="DI66" s="8">
        <v>-6.3269278358862702E-2</v>
      </c>
      <c r="DJ66" s="8">
        <v>-2.274623499917211E-2</v>
      </c>
      <c r="DK66" s="8">
        <v>-1.0779611471744277E-2</v>
      </c>
      <c r="DL66" s="8">
        <v>-7.7222103034351119E-2</v>
      </c>
      <c r="DM66" s="8">
        <v>-7.2959392029058934E-2</v>
      </c>
      <c r="DN66" s="8">
        <v>-3.6377094648576969E-3</v>
      </c>
      <c r="DO66" s="8">
        <v>-7.3725822246383854E-2</v>
      </c>
      <c r="DP66" s="8">
        <v>9.6314982576147457E-2</v>
      </c>
      <c r="DQ66" s="8">
        <v>-2.8588909738970769E-3</v>
      </c>
      <c r="DR66" s="8">
        <v>-8.819679486352261E-3</v>
      </c>
      <c r="DS66" s="8">
        <v>6.3327132024540933E-2</v>
      </c>
      <c r="DT66" s="8">
        <v>-5.1586410849843722E-2</v>
      </c>
      <c r="DU66" s="8">
        <v>-8.2390501107115821E-2</v>
      </c>
      <c r="DV66" s="8">
        <v>-1.1878859193907021E-2</v>
      </c>
      <c r="DW66" s="8">
        <v>-4.014628383468738E-2</v>
      </c>
      <c r="DX66" s="8">
        <v>1.8921355362338466E-2</v>
      </c>
      <c r="DY66" s="8">
        <v>7.1003102880365376E-3</v>
      </c>
      <c r="DZ66" s="8">
        <v>-0.11304607490993857</v>
      </c>
      <c r="EA66" s="8">
        <v>6.5847888995766546E-2</v>
      </c>
      <c r="EB66" s="8">
        <v>-7.8384066356088633E-3</v>
      </c>
      <c r="EC66" s="8">
        <v>0.1757134311808044</v>
      </c>
      <c r="ED66" s="8">
        <v>7.063991719983137E-2</v>
      </c>
      <c r="EE66" s="8">
        <v>1.2423970734360634E-2</v>
      </c>
      <c r="EF66" s="8">
        <v>-2.4999701238881011E-2</v>
      </c>
      <c r="EG66" s="8">
        <v>-0.10253850522762115</v>
      </c>
      <c r="EH66" s="8">
        <v>-5.4496689286039623E-2</v>
      </c>
      <c r="EI66" s="8">
        <v>-0.12539634980210596</v>
      </c>
      <c r="EJ66" s="8">
        <v>3.1830789671571436E-2</v>
      </c>
      <c r="EK66" s="8">
        <v>-3.9980291389824785E-2</v>
      </c>
      <c r="EL66" s="8">
        <v>5.0899069645288897E-2</v>
      </c>
      <c r="EM66" s="8">
        <v>-5.9667136412957789E-2</v>
      </c>
      <c r="EN66" s="8">
        <v>-8.0667866768759533E-2</v>
      </c>
      <c r="EO66" s="8">
        <v>8.208265466023329E-2</v>
      </c>
      <c r="EP66" s="8">
        <v>7.7078865695096588E-3</v>
      </c>
      <c r="EQ66" s="8">
        <v>1.5301878861036733E-2</v>
      </c>
      <c r="ER66" s="8">
        <v>1.2352216041669306E-2</v>
      </c>
      <c r="ES66" s="8">
        <v>6.3097358202099052E-2</v>
      </c>
      <c r="ET66" s="8">
        <v>1.0710461184664954E-2</v>
      </c>
      <c r="EU66" s="8">
        <v>-1.5786754974211836E-2</v>
      </c>
      <c r="EV66" s="8">
        <v>-2.5673648839420915E-2</v>
      </c>
      <c r="EW66" s="8">
        <v>0.10337014888687351</v>
      </c>
      <c r="EX66" s="8">
        <v>2.0379701015025786E-2</v>
      </c>
      <c r="EY66" s="8">
        <v>0.11243676065816333</v>
      </c>
      <c r="EZ66" s="8">
        <v>9.405480182770426E-2</v>
      </c>
      <c r="FA66" s="8">
        <v>-9.8138534767823027E-2</v>
      </c>
      <c r="FB66" s="8">
        <v>5.0494413727498966E-2</v>
      </c>
      <c r="FC66" s="8">
        <v>-8.6386313618514676E-2</v>
      </c>
      <c r="FD66" s="8">
        <v>2.0116704508665151E-2</v>
      </c>
      <c r="FE66" s="8">
        <v>-5.2528325049487512E-2</v>
      </c>
      <c r="FF66" s="8">
        <v>6.6143648121488374E-2</v>
      </c>
      <c r="FG66" s="8">
        <v>1.4189046428958962E-2</v>
      </c>
      <c r="FH66" s="8">
        <v>0.10148951714601689</v>
      </c>
      <c r="FI66" s="8">
        <v>3.6393956828204344E-2</v>
      </c>
      <c r="FJ66" s="8">
        <v>-5.4086116980605337E-2</v>
      </c>
      <c r="FK66" s="8">
        <v>6.3858676889882449E-3</v>
      </c>
      <c r="FL66" s="8">
        <v>3.1816463097373127E-2</v>
      </c>
      <c r="FM66" s="8">
        <v>0.1202042867296147</v>
      </c>
      <c r="FN66" s="8">
        <v>-7.2373122232296139E-2</v>
      </c>
      <c r="FO66" s="8">
        <v>-1.1376988932561394E-2</v>
      </c>
      <c r="FP66" s="8">
        <v>-4.945292445662347E-2</v>
      </c>
      <c r="FQ66" s="8">
        <v>-6.0423150643370949E-2</v>
      </c>
      <c r="FR66" s="8">
        <v>-3.1775127601772035E-2</v>
      </c>
      <c r="FS66" s="8">
        <v>-7.0441533844344928E-2</v>
      </c>
      <c r="FT66" s="8">
        <v>-0.10009889686306339</v>
      </c>
      <c r="FU66" s="8">
        <v>-3.0706749054034088E-2</v>
      </c>
      <c r="FV66" s="8">
        <v>4.4071313732327533E-2</v>
      </c>
      <c r="FW66" s="8">
        <v>7.226471877948365E-2</v>
      </c>
      <c r="FX66" s="8">
        <v>-2.0919200548702221E-2</v>
      </c>
      <c r="FY66" s="8">
        <v>2.2494524570105146E-2</v>
      </c>
      <c r="FZ66" s="8">
        <v>-5.4913010392099948E-2</v>
      </c>
      <c r="GA66" s="8">
        <v>-8.7274049713972013E-2</v>
      </c>
      <c r="GB66" s="8">
        <v>8.1513862548550309E-2</v>
      </c>
      <c r="GC66" s="8">
        <v>-0.11738590822111156</v>
      </c>
      <c r="GD66" s="8">
        <v>-2.6385123005517042E-2</v>
      </c>
      <c r="GE66" s="8">
        <v>7.2964018455127566E-2</v>
      </c>
      <c r="GF66" s="8">
        <v>4.1399507909087696E-2</v>
      </c>
      <c r="GG66" s="8">
        <v>-8.2299431277880919E-2</v>
      </c>
      <c r="GH66" s="8">
        <v>-2.2748626827118423E-2</v>
      </c>
      <c r="GI66" s="8">
        <v>2.9495674491589186E-3</v>
      </c>
      <c r="GJ66" s="8">
        <v>1.2574098301881276E-3</v>
      </c>
      <c r="GK66" s="8">
        <v>-2.2223176451268922E-2</v>
      </c>
      <c r="GL66" s="8">
        <v>-2.2525554868751796E-2</v>
      </c>
      <c r="GM66" s="8">
        <v>-1.3794589970309579E-3</v>
      </c>
      <c r="GN66" s="8">
        <v>0.12582721020992882</v>
      </c>
      <c r="GO66" s="8">
        <v>-1.5134489262735473E-2</v>
      </c>
      <c r="GP66" s="8">
        <v>2.7643373154226158E-2</v>
      </c>
      <c r="GQ66" s="8">
        <v>-0.10653750930109551</v>
      </c>
      <c r="GR66" s="8">
        <v>0.1270734045233991</v>
      </c>
      <c r="GS66" s="8">
        <v>2.3353657843134368E-2</v>
      </c>
      <c r="GT66" s="8">
        <v>-5.9557152945657277E-2</v>
      </c>
      <c r="GU66" s="8">
        <v>-2.3448878260165562E-2</v>
      </c>
      <c r="GV66" s="8">
        <v>-7.2455477812013391E-2</v>
      </c>
      <c r="GW66" s="8">
        <v>-9.4959568929887828E-2</v>
      </c>
      <c r="GX66" s="8">
        <v>-5.8333361537158068E-2</v>
      </c>
      <c r="GY66" s="8">
        <v>5.2486757281757168E-2</v>
      </c>
      <c r="GZ66" s="8">
        <v>-0.1511030443017623</v>
      </c>
      <c r="HA66" s="8">
        <v>1.8109175006054357E-2</v>
      </c>
      <c r="HB66" s="8">
        <v>0.15559097719307252</v>
      </c>
      <c r="HC66" s="8">
        <v>-8.6097158194772094E-2</v>
      </c>
      <c r="HD66" s="8">
        <v>-2.2632518002965174E-3</v>
      </c>
      <c r="HE66" s="8">
        <v>-3.758510772571122E-2</v>
      </c>
      <c r="HF66" s="8">
        <v>-6.8561671972608929E-2</v>
      </c>
      <c r="HG66" s="8">
        <v>4.8486586724843905E-2</v>
      </c>
      <c r="HH66" s="8">
        <v>7.8479301209078922E-2</v>
      </c>
      <c r="HI66" s="8">
        <v>-3.5037071147588861E-2</v>
      </c>
      <c r="HJ66" s="8">
        <v>-0.10512357786734666</v>
      </c>
      <c r="HK66" s="8">
        <v>1.6796830739011614E-2</v>
      </c>
      <c r="HL66" s="8">
        <v>3.6987627162637315E-2</v>
      </c>
      <c r="HM66" s="8">
        <v>-4.5113233717702039E-2</v>
      </c>
      <c r="HN66" s="8">
        <v>7.206267805279587E-2</v>
      </c>
      <c r="HO66" s="8">
        <v>0.1575494941755593</v>
      </c>
      <c r="HP66" s="8">
        <v>2.0459712841064903E-2</v>
      </c>
      <c r="HQ66" s="8">
        <v>-0.12773688995176424</v>
      </c>
      <c r="HR66" s="8">
        <v>3.2137908231658519E-2</v>
      </c>
      <c r="HS66" s="8">
        <v>6.8050330935480852E-2</v>
      </c>
      <c r="HT66" s="8">
        <v>1.3097714571596142E-2</v>
      </c>
      <c r="HU66" s="8">
        <v>7.7254062794081813E-2</v>
      </c>
      <c r="HV66" s="8">
        <v>-7.0689748977610989E-2</v>
      </c>
      <c r="HW66" s="8">
        <v>0.18376230007470967</v>
      </c>
      <c r="HX66" s="8">
        <v>0.10032318212843733</v>
      </c>
      <c r="HY66" s="8">
        <v>4.0084142842558568E-3</v>
      </c>
      <c r="HZ66" s="8">
        <v>-4.4295786596713904E-2</v>
      </c>
      <c r="IA66" s="8">
        <v>9.8192799696232458E-2</v>
      </c>
      <c r="IB66" s="8">
        <v>4.2358919700484499E-2</v>
      </c>
      <c r="IC66" s="8">
        <v>-2.9863187715843342E-2</v>
      </c>
      <c r="ID66" s="8">
        <v>-1.6756632291725082E-3</v>
      </c>
      <c r="IE66" s="8">
        <v>-3.0292186197897197E-3</v>
      </c>
      <c r="IF66" s="8">
        <v>-6.4919781982659353E-2</v>
      </c>
      <c r="IG66" s="8">
        <v>0.11232709458032386</v>
      </c>
      <c r="IH66" s="8">
        <v>-9.7938753452737448E-2</v>
      </c>
      <c r="II66" s="8">
        <v>5.5010241235084578E-2</v>
      </c>
      <c r="IJ66" s="8">
        <v>-8.4041586011576186E-3</v>
      </c>
      <c r="IK66" s="8">
        <v>8.8084151432934354E-2</v>
      </c>
      <c r="IL66" s="8">
        <v>-7.2041904172576166E-4</v>
      </c>
      <c r="IM66" s="8">
        <v>-1.921077630356921E-2</v>
      </c>
      <c r="IN66" s="8">
        <v>1.7128697975871965E-2</v>
      </c>
      <c r="IO66" s="8">
        <v>-4.0732183955725643E-3</v>
      </c>
      <c r="IP66" s="8">
        <v>-6.2598596257165018E-2</v>
      </c>
      <c r="IQ66" s="8">
        <v>4.5120304945302392E-2</v>
      </c>
      <c r="IR66" s="8">
        <v>-8.1943391493266293E-2</v>
      </c>
      <c r="IS66" s="8">
        <v>-1.2594883226400566E-2</v>
      </c>
      <c r="IT66" s="8">
        <v>-9.4798325943779016E-5</v>
      </c>
    </row>
    <row r="67" spans="1:254" s="11" customFormat="1" x14ac:dyDescent="0.2">
      <c r="A67" s="10"/>
      <c r="B67" s="12">
        <v>3.5</v>
      </c>
      <c r="C67" s="2">
        <f t="shared" si="43"/>
        <v>2.8343799643339426E-2</v>
      </c>
      <c r="D67" s="3">
        <f t="shared" si="44"/>
        <v>9.2521105945551074E-2</v>
      </c>
      <c r="E67" s="8">
        <v>-0.20305368987261754</v>
      </c>
      <c r="F67" s="8">
        <v>-4.9110992078395366E-2</v>
      </c>
      <c r="G67" s="8">
        <v>0.10917304251906912</v>
      </c>
      <c r="H67" s="8">
        <v>-5.5498978842181468E-2</v>
      </c>
      <c r="I67" s="8">
        <v>-4.5447986305848231E-3</v>
      </c>
      <c r="J67" s="8">
        <v>3.0221285355706506E-2</v>
      </c>
      <c r="K67" s="8">
        <v>1.7130182513182879E-2</v>
      </c>
      <c r="L67" s="8">
        <v>0.161907267511327</v>
      </c>
      <c r="M67" s="8">
        <v>-7.3556344611506452E-2</v>
      </c>
      <c r="N67" s="8">
        <v>-3.1526796942317969E-2</v>
      </c>
      <c r="O67" s="8">
        <v>-3.0067509350260868E-2</v>
      </c>
      <c r="P67" s="8">
        <v>-4.8285199026390557E-2</v>
      </c>
      <c r="Q67" s="8">
        <v>2.1615671271387138E-2</v>
      </c>
      <c r="R67" s="8">
        <v>3.9064370506251556E-3</v>
      </c>
      <c r="S67" s="8">
        <v>-2.1191638567211513E-2</v>
      </c>
      <c r="T67" s="8">
        <v>-3.3558047055352591E-3</v>
      </c>
      <c r="U67" s="8">
        <v>-8.4375196013005915E-2</v>
      </c>
      <c r="V67" s="8">
        <v>3.501641314175935E-2</v>
      </c>
      <c r="W67" s="8">
        <v>-7.4355235419119592E-3</v>
      </c>
      <c r="X67" s="8">
        <v>-2.9471957182512276E-2</v>
      </c>
      <c r="Y67" s="8">
        <v>-0.16052694755266195</v>
      </c>
      <c r="Z67" s="8">
        <v>-0.16981375164857992</v>
      </c>
      <c r="AA67" s="8">
        <v>-5.754330637746552E-2</v>
      </c>
      <c r="AB67" s="8">
        <v>3.7172873117522987E-2</v>
      </c>
      <c r="AC67" s="8">
        <v>3.239730579615141E-2</v>
      </c>
      <c r="AD67" s="8">
        <v>4.6869250282385755E-2</v>
      </c>
      <c r="AE67" s="8">
        <v>4.6498404815018268E-2</v>
      </c>
      <c r="AF67" s="8">
        <v>-9.7506513407148165E-2</v>
      </c>
      <c r="AG67" s="8">
        <v>1.9517516405158197E-2</v>
      </c>
      <c r="AH67" s="8">
        <v>-2.7912229169136937E-3</v>
      </c>
      <c r="AI67" s="8">
        <v>-5.4098252020993665E-2</v>
      </c>
      <c r="AJ67" s="8">
        <v>6.2752716562080035E-2</v>
      </c>
      <c r="AK67" s="8">
        <v>-5.3020926331340978E-2</v>
      </c>
      <c r="AL67" s="8">
        <v>-2.6978764086049156E-3</v>
      </c>
      <c r="AM67" s="8">
        <v>0.10088773975507825</v>
      </c>
      <c r="AN67" s="8">
        <v>7.3104497941166025E-3</v>
      </c>
      <c r="AO67" s="8">
        <v>-7.3024766843651667E-2</v>
      </c>
      <c r="AP67" s="8">
        <v>4.5487242849933773E-2</v>
      </c>
      <c r="AQ67" s="8">
        <v>-7.4045581139716155E-2</v>
      </c>
      <c r="AR67" s="8">
        <v>5.9594394357824487E-2</v>
      </c>
      <c r="AS67" s="8">
        <v>4.3539143899868016E-2</v>
      </c>
      <c r="AT67" s="8">
        <v>-8.2102005959289737E-3</v>
      </c>
      <c r="AU67" s="8">
        <v>-1.0966321805341739E-2</v>
      </c>
      <c r="AV67" s="8">
        <v>0.12179789915370592</v>
      </c>
      <c r="AW67" s="8">
        <v>4.0829502582222954E-2</v>
      </c>
      <c r="AX67" s="8">
        <v>-2.8820364121408371E-2</v>
      </c>
      <c r="AY67" s="8">
        <v>5.6760744366499083E-2</v>
      </c>
      <c r="AZ67" s="8">
        <v>-9.875365283286347E-2</v>
      </c>
      <c r="BA67" s="8">
        <v>-0.10408249807050834</v>
      </c>
      <c r="BB67" s="8">
        <v>9.4358775742930945E-5</v>
      </c>
      <c r="BC67" s="8">
        <v>-0.12348646464888696</v>
      </c>
      <c r="BD67" s="8">
        <v>-1.1097016587574338E-2</v>
      </c>
      <c r="BE67" s="8">
        <v>9.1506122664661849E-2</v>
      </c>
      <c r="BF67" s="8">
        <v>2.452522039267685E-2</v>
      </c>
      <c r="BG67" s="8">
        <v>0.21210916327396367</v>
      </c>
      <c r="BH67" s="8">
        <v>-7.9257979871629802E-2</v>
      </c>
      <c r="BI67" s="8">
        <v>-4.6863978273954221E-2</v>
      </c>
      <c r="BJ67" s="8">
        <v>-1.7764229532777343E-2</v>
      </c>
      <c r="BK67" s="8">
        <v>2.3397751475146722E-2</v>
      </c>
      <c r="BL67" s="8">
        <v>6.929433040457339E-2</v>
      </c>
      <c r="BM67" s="8">
        <v>9.3955713005879349E-2</v>
      </c>
      <c r="BN67" s="8">
        <v>7.9416680104246407E-2</v>
      </c>
      <c r="BO67" s="8">
        <v>-7.9175403657834875E-2</v>
      </c>
      <c r="BP67" s="8">
        <v>3.4236124968797799E-3</v>
      </c>
      <c r="BQ67" s="8">
        <v>9.4852623109890899E-2</v>
      </c>
      <c r="BR67" s="8">
        <v>-3.5821355049469594E-3</v>
      </c>
      <c r="BS67" s="8">
        <v>4.3511892555458731E-2</v>
      </c>
      <c r="BT67" s="8">
        <v>-3.6985223310184889E-2</v>
      </c>
      <c r="BU67" s="8">
        <v>-6.2851441582683631E-3</v>
      </c>
      <c r="BV67" s="8">
        <v>6.2569336005158571E-2</v>
      </c>
      <c r="BW67" s="8">
        <v>4.1157836992096852E-2</v>
      </c>
      <c r="BX67" s="8">
        <v>-0.1404705708433035</v>
      </c>
      <c r="BY67" s="8">
        <v>-7.0911152883576911E-2</v>
      </c>
      <c r="BZ67" s="8">
        <v>1.2923972935133865E-2</v>
      </c>
      <c r="CA67" s="8">
        <v>-2.6169232908712647E-3</v>
      </c>
      <c r="CB67" s="8">
        <v>1.0774235791961906E-2</v>
      </c>
      <c r="CC67" s="8">
        <v>9.2032294198248932E-2</v>
      </c>
      <c r="CD67" s="8">
        <v>0.1399611329281924</v>
      </c>
      <c r="CE67" s="8">
        <v>2.5731042363970336E-2</v>
      </c>
      <c r="CF67" s="8">
        <v>-3.1602244169527227E-2</v>
      </c>
      <c r="CG67" s="8">
        <v>1.7857104265334489E-2</v>
      </c>
      <c r="CH67" s="8">
        <v>7.3796016327364267E-2</v>
      </c>
      <c r="CI67" s="8">
        <v>-4.3754457064091534E-2</v>
      </c>
      <c r="CJ67" s="8">
        <v>-2.5662825037490067E-2</v>
      </c>
      <c r="CK67" s="8">
        <v>1.9492116978763463E-2</v>
      </c>
      <c r="CL67" s="8">
        <v>7.8611284583381735E-2</v>
      </c>
      <c r="CM67" s="8">
        <v>9.2521105945551074E-2</v>
      </c>
      <c r="CN67" s="8">
        <v>2.6121001854299608E-2</v>
      </c>
      <c r="CO67" s="8">
        <v>-3.1111996255087371E-2</v>
      </c>
      <c r="CP67" s="8">
        <v>1.2622038265410251E-2</v>
      </c>
      <c r="CQ67" s="8">
        <v>7.5202189586482893E-2</v>
      </c>
      <c r="CR67" s="8">
        <v>3.1825285096747535E-2</v>
      </c>
      <c r="CS67" s="8">
        <v>-7.5470671383311427E-2</v>
      </c>
      <c r="CT67" s="8">
        <v>8.3967055173561622E-3</v>
      </c>
      <c r="CU67" s="8">
        <v>-7.3480175294836581E-2</v>
      </c>
      <c r="CV67" s="8">
        <v>-1.8229830470145203E-2</v>
      </c>
      <c r="CW67" s="8">
        <v>5.127606364107401E-2</v>
      </c>
      <c r="CX67" s="8">
        <v>1.9592754133183288E-2</v>
      </c>
      <c r="CY67" s="8">
        <v>7.1440047587510214E-2</v>
      </c>
      <c r="CZ67" s="8">
        <v>0.1057374653140955</v>
      </c>
      <c r="DA67" s="8">
        <v>4.8208433256244076E-2</v>
      </c>
      <c r="DB67" s="8">
        <v>-1.0612240211544E-2</v>
      </c>
      <c r="DC67" s="8">
        <v>1.2221417115778621E-2</v>
      </c>
      <c r="DD67" s="8">
        <v>-1.9309851087556951E-2</v>
      </c>
      <c r="DE67" s="8">
        <v>3.3958628640349819E-2</v>
      </c>
      <c r="DF67" s="8">
        <v>2.7112208428495377E-2</v>
      </c>
      <c r="DG67" s="8">
        <v>-0.14576637221472216</v>
      </c>
      <c r="DH67" s="8">
        <v>-3.8307735299333068E-2</v>
      </c>
      <c r="DI67" s="8">
        <v>-6.4348358453446719E-2</v>
      </c>
      <c r="DJ67" s="8">
        <v>-6.7615461485800721E-2</v>
      </c>
      <c r="DK67" s="8">
        <v>3.1539801324912631E-2</v>
      </c>
      <c r="DL67" s="8">
        <v>-8.3001216794453714E-2</v>
      </c>
      <c r="DM67" s="8">
        <v>-6.6578037741009788E-2</v>
      </c>
      <c r="DN67" s="8">
        <v>1.7310879956055791E-2</v>
      </c>
      <c r="DO67" s="8">
        <v>-8.0681950650269452E-2</v>
      </c>
      <c r="DP67" s="8">
        <v>8.4287813977916071E-2</v>
      </c>
      <c r="DQ67" s="8">
        <v>-2.9613882872105368E-2</v>
      </c>
      <c r="DR67" s="8">
        <v>-2.6190840190584985E-2</v>
      </c>
      <c r="DS67" s="8">
        <v>5.6808694289339712E-2</v>
      </c>
      <c r="DT67" s="8">
        <v>9.4296862768001866E-3</v>
      </c>
      <c r="DU67" s="8">
        <v>-6.6066032068727021E-2</v>
      </c>
      <c r="DV67" s="8">
        <v>-4.0961874429459866E-3</v>
      </c>
      <c r="DW67" s="8">
        <v>-2.1891404754742605E-2</v>
      </c>
      <c r="DX67" s="8">
        <v>-3.5060663099768186E-2</v>
      </c>
      <c r="DY67" s="8">
        <v>1.9482200876815847E-3</v>
      </c>
      <c r="DZ67" s="8">
        <v>-0.13948889031055467</v>
      </c>
      <c r="EA67" s="8">
        <v>4.9652898753656194E-2</v>
      </c>
      <c r="EB67" s="8">
        <v>-4.2841746723378926E-2</v>
      </c>
      <c r="EC67" s="8">
        <v>0.16028922214703872</v>
      </c>
      <c r="ED67" s="8">
        <v>6.5267955059607419E-2</v>
      </c>
      <c r="EE67" s="8">
        <v>9.6106587999827964E-3</v>
      </c>
      <c r="EF67" s="8">
        <v>-1.3000382123574572E-2</v>
      </c>
      <c r="EG67" s="8">
        <v>-0.10463541600842263</v>
      </c>
      <c r="EH67" s="8">
        <v>-6.2940119777597003E-2</v>
      </c>
      <c r="EI67" s="8">
        <v>-0.14424855608500159</v>
      </c>
      <c r="EJ67" s="8">
        <v>5.0998308813689774E-2</v>
      </c>
      <c r="EK67" s="8">
        <v>-5.1619137220733469E-2</v>
      </c>
      <c r="EL67" s="8">
        <v>2.7529736992484843E-2</v>
      </c>
      <c r="EM67" s="8">
        <v>-3.9225471202411599E-2</v>
      </c>
      <c r="EN67" s="8">
        <v>-6.2802232592253926E-2</v>
      </c>
      <c r="EO67" s="8">
        <v>0.10865731395662198</v>
      </c>
      <c r="EP67" s="8">
        <v>-1.5131307696780727E-3</v>
      </c>
      <c r="EQ67" s="8">
        <v>-1.4945088843076326E-3</v>
      </c>
      <c r="ER67" s="8">
        <v>4.8695968155888447E-2</v>
      </c>
      <c r="ES67" s="8">
        <v>5.9743269052903059E-2</v>
      </c>
      <c r="ET67" s="8">
        <v>1.8416638303262345E-2</v>
      </c>
      <c r="EU67" s="8">
        <v>-2.6624872826700507E-2</v>
      </c>
      <c r="EV67" s="8">
        <v>-3.9194560842181259E-2</v>
      </c>
      <c r="EW67" s="8">
        <v>9.8631164453434617E-2</v>
      </c>
      <c r="EX67" s="8">
        <v>1.8068315849529781E-2</v>
      </c>
      <c r="EY67" s="8">
        <v>9.96184893904008E-2</v>
      </c>
      <c r="EZ67" s="8">
        <v>6.0966434994387864E-2</v>
      </c>
      <c r="FA67" s="8">
        <v>-0.1302417094284215</v>
      </c>
      <c r="FB67" s="8">
        <v>4.9732905804001803E-2</v>
      </c>
      <c r="FC67" s="8">
        <v>-9.3990436724479265E-2</v>
      </c>
      <c r="FD67" s="8">
        <v>4.8886169871452112E-3</v>
      </c>
      <c r="FE67" s="8">
        <v>-5.4207140051420466E-2</v>
      </c>
      <c r="FF67" s="8">
        <v>6.3974893533553845E-2</v>
      </c>
      <c r="FG67" s="8">
        <v>4.5596121774754306E-2</v>
      </c>
      <c r="FH67" s="8">
        <v>0.11881660875860967</v>
      </c>
      <c r="FI67" s="8">
        <v>8.1649608516419281E-2</v>
      </c>
      <c r="FJ67" s="8">
        <v>-1.1231274195382612E-2</v>
      </c>
      <c r="FK67" s="8">
        <v>4.4371278266095326E-2</v>
      </c>
      <c r="FL67" s="8">
        <v>2.8921733806738514E-2</v>
      </c>
      <c r="FM67" s="8">
        <v>9.6420508540041694E-2</v>
      </c>
      <c r="FN67" s="8">
        <v>-7.8710319793440675E-2</v>
      </c>
      <c r="FO67" s="8">
        <v>-4.3184459161975497E-2</v>
      </c>
      <c r="FP67" s="8">
        <v>-3.2997843057509302E-2</v>
      </c>
      <c r="FQ67" s="8">
        <v>-9.7562409578167031E-2</v>
      </c>
      <c r="FR67" s="8">
        <v>-6.3208330885718367E-2</v>
      </c>
      <c r="FS67" s="8">
        <v>-3.8789206921159392E-2</v>
      </c>
      <c r="FT67" s="8">
        <v>-0.13770890479990666</v>
      </c>
      <c r="FU67" s="8">
        <v>3.942534015555943E-3</v>
      </c>
      <c r="FV67" s="8">
        <v>1.628978808451792E-2</v>
      </c>
      <c r="FW67" s="8">
        <v>7.9998679963562802E-2</v>
      </c>
      <c r="FX67" s="8">
        <v>-1.9527580494948849E-2</v>
      </c>
      <c r="FY67" s="8">
        <v>4.8812551726349296E-2</v>
      </c>
      <c r="FZ67" s="8">
        <v>-4.0230094847205133E-2</v>
      </c>
      <c r="GA67" s="8">
        <v>-7.9139707410595062E-2</v>
      </c>
      <c r="GB67" s="8">
        <v>6.8589545567516341E-2</v>
      </c>
      <c r="GC67" s="8">
        <v>-0.12064462464138098</v>
      </c>
      <c r="GD67" s="8">
        <v>-2.5645006685356131E-2</v>
      </c>
      <c r="GE67" s="8">
        <v>3.4041518488932165E-2</v>
      </c>
      <c r="GF67" s="8">
        <v>2.5368708042781019E-2</v>
      </c>
      <c r="GG67" s="8">
        <v>-8.7768300707510127E-2</v>
      </c>
      <c r="GH67" s="8">
        <v>-3.3884899272907998E-2</v>
      </c>
      <c r="GI67" s="8">
        <v>2.2123101792980659E-2</v>
      </c>
      <c r="GJ67" s="8">
        <v>1.4816196327601283E-2</v>
      </c>
      <c r="GK67" s="8">
        <v>1.4127030295763288E-2</v>
      </c>
      <c r="GL67" s="8">
        <v>-3.7806903030387307E-2</v>
      </c>
      <c r="GM67" s="8">
        <v>9.1242577500353361E-3</v>
      </c>
      <c r="GN67" s="8">
        <v>0.11593145586758435</v>
      </c>
      <c r="GO67" s="8">
        <v>2.314871192941198E-2</v>
      </c>
      <c r="GP67" s="8">
        <v>4.7070551828268914E-2</v>
      </c>
      <c r="GQ67" s="8">
        <v>-0.11359588646057461</v>
      </c>
      <c r="GR67" s="8">
        <v>0.11366476867228231</v>
      </c>
      <c r="GS67" s="8">
        <v>2.5533745230682636E-2</v>
      </c>
      <c r="GT67" s="8">
        <v>-4.6239543894949386E-2</v>
      </c>
      <c r="GU67" s="8">
        <v>-1.2605694868084272E-2</v>
      </c>
      <c r="GV67" s="8">
        <v>-8.6790875791085964E-2</v>
      </c>
      <c r="GW67" s="8">
        <v>-7.5377520636434714E-2</v>
      </c>
      <c r="GX67" s="8">
        <v>-4.1312211867393644E-2</v>
      </c>
      <c r="GY67" s="8">
        <v>7.4359992417952658E-2</v>
      </c>
      <c r="GZ67" s="8">
        <v>-0.14592679483530441</v>
      </c>
      <c r="HA67" s="8">
        <v>2.8571663911037881E-2</v>
      </c>
      <c r="HB67" s="8">
        <v>0.15114425887747479</v>
      </c>
      <c r="HC67" s="8">
        <v>-6.4507087951112818E-2</v>
      </c>
      <c r="HD67" s="8">
        <v>-2.4221454248402052E-4</v>
      </c>
      <c r="HE67" s="8">
        <v>-4.5644950961386377E-2</v>
      </c>
      <c r="HF67" s="8">
        <v>-6.5730496704473451E-2</v>
      </c>
      <c r="HG67" s="8">
        <v>7.344281545191883E-2</v>
      </c>
      <c r="HH67" s="8">
        <v>9.6627605876750566E-2</v>
      </c>
      <c r="HI67" s="8">
        <v>-3.475429544192149E-2</v>
      </c>
      <c r="HJ67" s="8">
        <v>-8.5558943621902861E-2</v>
      </c>
      <c r="HK67" s="8">
        <v>2.6674762332715873E-2</v>
      </c>
      <c r="HL67" s="8">
        <v>4.9889602163280256E-2</v>
      </c>
      <c r="HM67" s="8">
        <v>-1.438934337486969E-2</v>
      </c>
      <c r="HN67" s="8">
        <v>6.8959955370410941E-2</v>
      </c>
      <c r="HO67" s="8">
        <v>0.14733451006312565</v>
      </c>
      <c r="HP67" s="8">
        <v>1.3288919643751285E-2</v>
      </c>
      <c r="HQ67" s="8">
        <v>-0.10668882867136203</v>
      </c>
      <c r="HR67" s="8">
        <v>4.2682351967612053E-2</v>
      </c>
      <c r="HS67" s="8">
        <v>4.7892052193053813E-2</v>
      </c>
      <c r="HT67" s="8">
        <v>5.2086561163661504E-2</v>
      </c>
      <c r="HU67" s="8">
        <v>0.11128320264005476</v>
      </c>
      <c r="HV67" s="8">
        <v>-5.9414941862311443E-2</v>
      </c>
      <c r="HW67" s="8">
        <v>0.19059411422912015</v>
      </c>
      <c r="HX67" s="8">
        <v>0.10799413683711495</v>
      </c>
      <c r="HY67" s="8">
        <v>2.5783994334973637E-2</v>
      </c>
      <c r="HZ67" s="8">
        <v>-5.7996226474722856E-2</v>
      </c>
      <c r="IA67" s="8">
        <v>9.8510282640950297E-2</v>
      </c>
      <c r="IB67" s="8">
        <v>5.1677224783678477E-2</v>
      </c>
      <c r="IC67" s="8">
        <v>-1.7182472474007837E-2</v>
      </c>
      <c r="ID67" s="8">
        <v>5.5646963572819619E-4</v>
      </c>
      <c r="IE67" s="8">
        <v>-2.9926377801204662E-2</v>
      </c>
      <c r="IF67" s="8">
        <v>-8.1550951571545238E-2</v>
      </c>
      <c r="IG67" s="8">
        <v>0.11785315330683033</v>
      </c>
      <c r="IH67" s="8">
        <v>-0.11493154310007192</v>
      </c>
      <c r="II67" s="8">
        <v>4.1771873768626566E-2</v>
      </c>
      <c r="IJ67" s="8">
        <v>-1.2696310073099237E-2</v>
      </c>
      <c r="IK67" s="8">
        <v>7.7940239383465948E-2</v>
      </c>
      <c r="IL67" s="8">
        <v>2.3379061533866652E-2</v>
      </c>
      <c r="IM67" s="8">
        <v>-2.5736097224580756E-2</v>
      </c>
      <c r="IN67" s="8">
        <v>-2.8272450042713393E-3</v>
      </c>
      <c r="IO67" s="8">
        <v>-1.5262008105463853E-2</v>
      </c>
      <c r="IP67" s="8">
        <v>-2.8975494654098544E-2</v>
      </c>
      <c r="IQ67" s="8">
        <v>4.6672394120856386E-2</v>
      </c>
      <c r="IR67" s="8">
        <v>-8.5129411294654234E-2</v>
      </c>
      <c r="IS67" s="8">
        <v>-1.1451333240511008E-2</v>
      </c>
      <c r="IT67" s="8">
        <v>1.6937150868138906E-2</v>
      </c>
    </row>
    <row r="68" spans="1:254" s="11" customFormat="1" x14ac:dyDescent="0.2">
      <c r="A68" s="10"/>
      <c r="B68" s="12">
        <v>3.75</v>
      </c>
      <c r="C68" s="2">
        <f t="shared" si="43"/>
        <v>2.7679234425527208E-2</v>
      </c>
      <c r="D68" s="3">
        <f t="shared" si="44"/>
        <v>9.1893310216354551E-2</v>
      </c>
      <c r="E68" s="8">
        <v>-0.18735019141025494</v>
      </c>
      <c r="F68" s="8">
        <v>-4.4224286497724363E-3</v>
      </c>
      <c r="G68" s="8">
        <v>0.1279644089363009</v>
      </c>
      <c r="H68" s="8">
        <v>-3.3163111381638521E-2</v>
      </c>
      <c r="I68" s="8">
        <v>-2.2634804933015562E-2</v>
      </c>
      <c r="J68" s="8">
        <v>5.849557833903235E-2</v>
      </c>
      <c r="K68" s="8">
        <v>-9.4052730025341869E-3</v>
      </c>
      <c r="L68" s="8">
        <v>0.17646523269692793</v>
      </c>
      <c r="M68" s="8">
        <v>-7.3913851653507778E-2</v>
      </c>
      <c r="N68" s="8">
        <v>-1.6120371044008319E-2</v>
      </c>
      <c r="O68" s="8">
        <v>-3.255035777870019E-2</v>
      </c>
      <c r="P68" s="8">
        <v>-4.9018088098359613E-2</v>
      </c>
      <c r="Q68" s="8">
        <v>3.6171343545226164E-2</v>
      </c>
      <c r="R68" s="8">
        <v>1.5373929221048299E-2</v>
      </c>
      <c r="S68" s="8">
        <v>-3.9905164167715057E-2</v>
      </c>
      <c r="T68" s="8">
        <v>-1.4594513596876468E-2</v>
      </c>
      <c r="U68" s="8">
        <v>-7.7426277563231394E-2</v>
      </c>
      <c r="V68" s="8">
        <v>2.749442965149218E-2</v>
      </c>
      <c r="W68" s="8">
        <v>-4.5266235544939415E-2</v>
      </c>
      <c r="X68" s="8">
        <v>-3.7669732934233535E-2</v>
      </c>
      <c r="Y68" s="8">
        <v>-0.15220374522480251</v>
      </c>
      <c r="Z68" s="8">
        <v>-0.14891648194724272</v>
      </c>
      <c r="AA68" s="8">
        <v>-6.4584610112515484E-2</v>
      </c>
      <c r="AB68" s="8">
        <v>1.6667566434071523E-2</v>
      </c>
      <c r="AC68" s="8">
        <v>3.5478323797439371E-2</v>
      </c>
      <c r="AD68" s="8">
        <v>1.6694943413295971E-2</v>
      </c>
      <c r="AE68" s="8">
        <v>5.1697890774693056E-2</v>
      </c>
      <c r="AF68" s="8">
        <v>-7.5184879255743242E-2</v>
      </c>
      <c r="AG68" s="8">
        <v>-1.3836065274154929E-2</v>
      </c>
      <c r="AH68" s="8">
        <v>-1.0244021014732929E-2</v>
      </c>
      <c r="AI68" s="8">
        <v>-3.1254474629961948E-2</v>
      </c>
      <c r="AJ68" s="8">
        <v>6.1432681395864164E-2</v>
      </c>
      <c r="AK68" s="8">
        <v>-6.66937639581488E-2</v>
      </c>
      <c r="AL68" s="8">
        <v>-4.219567761940396E-2</v>
      </c>
      <c r="AM68" s="8">
        <v>9.5591867753324455E-2</v>
      </c>
      <c r="AN68" s="8">
        <v>-2.4355159704187945E-2</v>
      </c>
      <c r="AO68" s="8">
        <v>-1.933287488265395E-2</v>
      </c>
      <c r="AP68" s="8">
        <v>4.4446508259007367E-2</v>
      </c>
      <c r="AQ68" s="8">
        <v>-8.2587469338114172E-2</v>
      </c>
      <c r="AR68" s="8">
        <v>8.8266306980245401E-2</v>
      </c>
      <c r="AS68" s="8">
        <v>2.4363531340831246E-2</v>
      </c>
      <c r="AT68" s="8">
        <v>-1.6365561915384297E-2</v>
      </c>
      <c r="AU68" s="8">
        <v>7.9741420545553221E-3</v>
      </c>
      <c r="AV68" s="8">
        <v>0.14825294309056641</v>
      </c>
      <c r="AW68" s="8">
        <v>7.4304963362433196E-3</v>
      </c>
      <c r="AX68" s="8">
        <v>-7.537919722550579E-4</v>
      </c>
      <c r="AY68" s="8">
        <v>5.6174676996255057E-2</v>
      </c>
      <c r="AZ68" s="8">
        <v>-7.4095158164776354E-2</v>
      </c>
      <c r="BA68" s="8">
        <v>-9.3747811028550954E-2</v>
      </c>
      <c r="BB68" s="8">
        <v>-1.909746348519642E-2</v>
      </c>
      <c r="BC68" s="8">
        <v>-0.13496424726676789</v>
      </c>
      <c r="BD68" s="8">
        <v>-2.7107835062660512E-2</v>
      </c>
      <c r="BE68" s="8">
        <v>6.2378667448789671E-2</v>
      </c>
      <c r="BF68" s="8">
        <v>-9.0855157651897889E-4</v>
      </c>
      <c r="BG68" s="8">
        <v>0.17776079822806207</v>
      </c>
      <c r="BH68" s="8">
        <v>-9.2113070677470099E-2</v>
      </c>
      <c r="BI68" s="8">
        <v>-2.5485399660257424E-2</v>
      </c>
      <c r="BJ68" s="8">
        <v>1.4429086982449768E-2</v>
      </c>
      <c r="BK68" s="8">
        <v>1.8157976210855131E-2</v>
      </c>
      <c r="BL68" s="8">
        <v>8.5014900833055407E-2</v>
      </c>
      <c r="BM68" s="8">
        <v>6.1020666740845109E-2</v>
      </c>
      <c r="BN68" s="8">
        <v>5.6515699550247156E-2</v>
      </c>
      <c r="BO68" s="8">
        <v>-7.4337591581937368E-2</v>
      </c>
      <c r="BP68" s="8">
        <v>-1.4222480635401991E-2</v>
      </c>
      <c r="BQ68" s="8">
        <v>0.13600126217577396</v>
      </c>
      <c r="BR68" s="8">
        <v>2.9470867387939026E-3</v>
      </c>
      <c r="BS68" s="8">
        <v>6.4161109428645113E-2</v>
      </c>
      <c r="BT68" s="8">
        <v>-6.3900296242336341E-2</v>
      </c>
      <c r="BU68" s="8">
        <v>1.7646714691244958E-2</v>
      </c>
      <c r="BV68" s="8">
        <v>2.8100811809592285E-2</v>
      </c>
      <c r="BW68" s="8">
        <v>3.6027992122272257E-3</v>
      </c>
      <c r="BX68" s="8">
        <v>-0.14816319611481132</v>
      </c>
      <c r="BY68" s="8">
        <v>-3.1293211722215164E-2</v>
      </c>
      <c r="BZ68" s="8">
        <v>2.1466922279378575E-2</v>
      </c>
      <c r="CA68" s="8">
        <v>-1.2222660726500911E-2</v>
      </c>
      <c r="CB68" s="8">
        <v>2.0864600329079608E-2</v>
      </c>
      <c r="CC68" s="8">
        <v>0.11005921177774558</v>
      </c>
      <c r="CD68" s="8">
        <v>0.14218481858330878</v>
      </c>
      <c r="CE68" s="8">
        <v>2.0804416155262351E-2</v>
      </c>
      <c r="CF68" s="8">
        <v>-3.7965001360943051E-2</v>
      </c>
      <c r="CG68" s="8">
        <v>5.1991559535363108E-2</v>
      </c>
      <c r="CH68" s="8">
        <v>9.4323770860126444E-2</v>
      </c>
      <c r="CI68" s="8">
        <v>-7.645329568683773E-2</v>
      </c>
      <c r="CJ68" s="8">
        <v>-5.7516480223167687E-2</v>
      </c>
      <c r="CK68" s="8">
        <v>3.1676839049621652E-2</v>
      </c>
      <c r="CL68" s="8">
        <v>3.4083145196259268E-2</v>
      </c>
      <c r="CM68" s="8">
        <v>6.5327066130823952E-2</v>
      </c>
      <c r="CN68" s="8">
        <v>1.4917113683778183E-2</v>
      </c>
      <c r="CO68" s="8">
        <v>-2.9927958944162836E-2</v>
      </c>
      <c r="CP68" s="8">
        <v>3.6320632843305445E-2</v>
      </c>
      <c r="CQ68" s="8">
        <v>0.10819182557403301</v>
      </c>
      <c r="CR68" s="8">
        <v>-4.8290596786044748E-3</v>
      </c>
      <c r="CS68" s="8">
        <v>-4.9630738006099129E-2</v>
      </c>
      <c r="CT68" s="8">
        <v>-1.7272916022455176E-2</v>
      </c>
      <c r="CU68" s="8">
        <v>-4.7397599560449921E-2</v>
      </c>
      <c r="CV68" s="8">
        <v>-3.4707503175464338E-2</v>
      </c>
      <c r="CW68" s="8">
        <v>5.6397159530454433E-2</v>
      </c>
      <c r="CX68" s="8">
        <v>-4.3017390192901128E-2</v>
      </c>
      <c r="CY68" s="8">
        <v>4.6928034542562835E-2</v>
      </c>
      <c r="CZ68" s="8">
        <v>7.6905658211383121E-2</v>
      </c>
      <c r="DA68" s="8">
        <v>2.1821237119327319E-2</v>
      </c>
      <c r="DB68" s="8">
        <v>-1.5922913463770505E-2</v>
      </c>
      <c r="DC68" s="8">
        <v>2.9802363713525293E-2</v>
      </c>
      <c r="DD68" s="8">
        <v>-2.3907285130263689E-2</v>
      </c>
      <c r="DE68" s="8">
        <v>5.0558039651730058E-2</v>
      </c>
      <c r="DF68" s="8">
        <v>3.3743141216977246E-2</v>
      </c>
      <c r="DG68" s="8">
        <v>-0.15429048079413687</v>
      </c>
      <c r="DH68" s="8">
        <v>-4.6459076402631527E-2</v>
      </c>
      <c r="DI68" s="8">
        <v>-5.1757273551388094E-2</v>
      </c>
      <c r="DJ68" s="8">
        <v>-5.1671459618983895E-2</v>
      </c>
      <c r="DK68" s="8">
        <v>2.952499382044671E-2</v>
      </c>
      <c r="DL68" s="8">
        <v>-7.1137127192963889E-2</v>
      </c>
      <c r="DM68" s="8">
        <v>-5.9165166199180774E-2</v>
      </c>
      <c r="DN68" s="8">
        <v>1.906859701272362E-2</v>
      </c>
      <c r="DO68" s="8">
        <v>-4.7746319651206959E-2</v>
      </c>
      <c r="DP68" s="8">
        <v>6.2377354685435482E-2</v>
      </c>
      <c r="DQ68" s="8">
        <v>-2.339446939964851E-3</v>
      </c>
      <c r="DR68" s="8">
        <v>-2.3157740719979003E-2</v>
      </c>
      <c r="DS68" s="8">
        <v>9.620071843032324E-2</v>
      </c>
      <c r="DT68" s="8">
        <v>2.6460613577953818E-3</v>
      </c>
      <c r="DU68" s="8">
        <v>-9.2516062884973105E-2</v>
      </c>
      <c r="DV68" s="8">
        <v>-8.2046735968865914E-4</v>
      </c>
      <c r="DW68" s="8">
        <v>-3.5058439291652477E-2</v>
      </c>
      <c r="DX68" s="8">
        <v>-1.8253649870772881E-2</v>
      </c>
      <c r="DY68" s="8">
        <v>-2.0871408717206275E-3</v>
      </c>
      <c r="DZ68" s="8">
        <v>-0.13507379977471948</v>
      </c>
      <c r="EA68" s="8">
        <v>4.0078577421029549E-2</v>
      </c>
      <c r="EB68" s="8">
        <v>-4.1442940672870965E-2</v>
      </c>
      <c r="EC68" s="8">
        <v>0.1751213114723611</v>
      </c>
      <c r="ED68" s="8">
        <v>8.8587819865014406E-2</v>
      </c>
      <c r="EE68" s="8">
        <v>2.5235094681769821E-2</v>
      </c>
      <c r="EF68" s="8">
        <v>-2.7002472753489992E-2</v>
      </c>
      <c r="EG68" s="8">
        <v>-9.7794010174930779E-2</v>
      </c>
      <c r="EH68" s="8">
        <v>-6.4269959539758392E-2</v>
      </c>
      <c r="EI68" s="8">
        <v>-0.1648410041633645</v>
      </c>
      <c r="EJ68" s="8">
        <v>2.8006305223670869E-2</v>
      </c>
      <c r="EK68" s="8">
        <v>-6.6440261532356715E-2</v>
      </c>
      <c r="EL68" s="8">
        <v>2.6840142237137543E-2</v>
      </c>
      <c r="EM68" s="8">
        <v>-5.6798355429403813E-2</v>
      </c>
      <c r="EN68" s="8">
        <v>-5.5917399611918384E-2</v>
      </c>
      <c r="EO68" s="8">
        <v>0.10558364062291864</v>
      </c>
      <c r="EP68" s="8">
        <v>-9.7856573851815565E-3</v>
      </c>
      <c r="EQ68" s="8">
        <v>2.9475630906184491E-2</v>
      </c>
      <c r="ER68" s="8">
        <v>4.0573774517689454E-2</v>
      </c>
      <c r="ES68" s="8">
        <v>7.8205021303069056E-2</v>
      </c>
      <c r="ET68" s="8">
        <v>3.1184816872966092E-2</v>
      </c>
      <c r="EU68" s="8">
        <v>-3.4247400519873461E-2</v>
      </c>
      <c r="EV68" s="8">
        <v>-4.559675272186553E-2</v>
      </c>
      <c r="EW68" s="8">
        <v>0.10561386739662265</v>
      </c>
      <c r="EX68" s="8">
        <v>1.2993288181967322E-2</v>
      </c>
      <c r="EY68" s="8">
        <v>5.9537995273585997E-2</v>
      </c>
      <c r="EZ68" s="8">
        <v>2.8239796633017566E-2</v>
      </c>
      <c r="FA68" s="8">
        <v>-0.10794436396459137</v>
      </c>
      <c r="FB68" s="8">
        <v>2.5702313532997179E-2</v>
      </c>
      <c r="FC68" s="8">
        <v>-8.9384737653067814E-2</v>
      </c>
      <c r="FD68" s="8">
        <v>-3.20685400361303E-2</v>
      </c>
      <c r="FE68" s="8">
        <v>-8.8057357739458331E-2</v>
      </c>
      <c r="FF68" s="8">
        <v>7.1970430611150216E-2</v>
      </c>
      <c r="FG68" s="8">
        <v>4.2906676506382802E-2</v>
      </c>
      <c r="FH68" s="8">
        <v>7.3499226619372915E-2</v>
      </c>
      <c r="FI68" s="8">
        <v>3.2365630596153105E-2</v>
      </c>
      <c r="FJ68" s="8">
        <v>-2.456904398699189E-2</v>
      </c>
      <c r="FK68" s="8">
        <v>3.7031984115891592E-2</v>
      </c>
      <c r="FL68" s="8">
        <v>1.3201949093368026E-2</v>
      </c>
      <c r="FM68" s="8">
        <v>0.14471028587710055</v>
      </c>
      <c r="FN68" s="8">
        <v>-0.10298160480328639</v>
      </c>
      <c r="FO68" s="8">
        <v>-5.6385626796917887E-2</v>
      </c>
      <c r="FP68" s="8">
        <v>-3.0757727227575193E-2</v>
      </c>
      <c r="FQ68" s="8">
        <v>-7.9285414699443779E-2</v>
      </c>
      <c r="FR68" s="8">
        <v>-6.8034952423354833E-2</v>
      </c>
      <c r="FS68" s="8">
        <v>-4.0746482886338586E-2</v>
      </c>
      <c r="FT68" s="8">
        <v>-0.12165694150172501</v>
      </c>
      <c r="FU68" s="8">
        <v>2.0552900557383513E-2</v>
      </c>
      <c r="FV68" s="8">
        <v>-1.1586695059262297E-2</v>
      </c>
      <c r="FW68" s="8">
        <v>8.2578112904377388E-2</v>
      </c>
      <c r="FX68" s="8">
        <v>-1.4317882780925217E-2</v>
      </c>
      <c r="FY68" s="8">
        <v>8.0499348100345591E-2</v>
      </c>
      <c r="FZ68" s="8">
        <v>-7.0408213163788702E-2</v>
      </c>
      <c r="GA68" s="8">
        <v>-9.5186449044056543E-2</v>
      </c>
      <c r="GB68" s="8">
        <v>5.9777266252330485E-2</v>
      </c>
      <c r="GC68" s="8">
        <v>-8.012772020250164E-2</v>
      </c>
      <c r="GD68" s="8">
        <v>-2.2148377561821142E-2</v>
      </c>
      <c r="GE68" s="8">
        <v>6.6640210431753E-2</v>
      </c>
      <c r="GF68" s="8">
        <v>5.4476037703088565E-2</v>
      </c>
      <c r="GG68" s="8">
        <v>-7.8152349567602586E-2</v>
      </c>
      <c r="GH68" s="8">
        <v>-5.0280946415115824E-2</v>
      </c>
      <c r="GI68" s="8">
        <v>1.1807349297895953E-3</v>
      </c>
      <c r="GJ68" s="8">
        <v>4.2916059646085691E-2</v>
      </c>
      <c r="GK68" s="8">
        <v>2.3981449294898705E-2</v>
      </c>
      <c r="GL68" s="8">
        <v>-5.4696038182307116E-2</v>
      </c>
      <c r="GM68" s="8">
        <v>-4.7754023952460423E-3</v>
      </c>
      <c r="GN68" s="8">
        <v>9.1893310216354551E-2</v>
      </c>
      <c r="GO68" s="8">
        <v>-7.1177005577500174E-3</v>
      </c>
      <c r="GP68" s="8">
        <v>3.684207380611404E-2</v>
      </c>
      <c r="GQ68" s="8">
        <v>-0.11923152644384727</v>
      </c>
      <c r="GR68" s="8">
        <v>0.12718008493289912</v>
      </c>
      <c r="GS68" s="8">
        <v>1.9490464121201811E-2</v>
      </c>
      <c r="GT68" s="8">
        <v>-2.1259077739908483E-2</v>
      </c>
      <c r="GU68" s="8">
        <v>-1.65103318339056E-2</v>
      </c>
      <c r="GV68" s="8">
        <v>-9.6186750692679623E-2</v>
      </c>
      <c r="GW68" s="8">
        <v>-8.4093920747605078E-2</v>
      </c>
      <c r="GX68" s="8">
        <v>-5.3070406287259675E-2</v>
      </c>
      <c r="GY68" s="8">
        <v>5.4288370488678794E-2</v>
      </c>
      <c r="GZ68" s="8">
        <v>-0.11423681290220955</v>
      </c>
      <c r="HA68" s="8">
        <v>1.2033288939986231E-2</v>
      </c>
      <c r="HB68" s="8">
        <v>0.13745243128877704</v>
      </c>
      <c r="HC68" s="8">
        <v>-9.6522509621692787E-2</v>
      </c>
      <c r="HD68" s="8">
        <v>-4.9613107067615903E-3</v>
      </c>
      <c r="HE68" s="8">
        <v>-5.7885794585439576E-2</v>
      </c>
      <c r="HF68" s="8">
        <v>-7.9196938013607387E-2</v>
      </c>
      <c r="HG68" s="8">
        <v>6.177852125085298E-2</v>
      </c>
      <c r="HH68" s="8">
        <v>9.2895121020764748E-2</v>
      </c>
      <c r="HI68" s="8">
        <v>-4.8113087439893287E-2</v>
      </c>
      <c r="HJ68" s="8">
        <v>-6.5463586871115864E-2</v>
      </c>
      <c r="HK68" s="8">
        <v>-1.1626870228243158E-2</v>
      </c>
      <c r="HL68" s="8">
        <v>5.9371673159921146E-2</v>
      </c>
      <c r="HM68" s="8">
        <v>-3.8278304804912955E-2</v>
      </c>
      <c r="HN68" s="8">
        <v>0.10508885587014222</v>
      </c>
      <c r="HO68" s="8">
        <v>0.13118349418852049</v>
      </c>
      <c r="HP68" s="8">
        <v>2.3553428465905635E-2</v>
      </c>
      <c r="HQ68" s="8">
        <v>-0.1218569066819026</v>
      </c>
      <c r="HR68" s="8">
        <v>6.4873353010361179E-2</v>
      </c>
      <c r="HS68" s="8">
        <v>4.9756626026226936E-2</v>
      </c>
      <c r="HT68" s="8">
        <v>8.7190331246655206E-2</v>
      </c>
      <c r="HU68" s="8">
        <v>0.10777715159525081</v>
      </c>
      <c r="HV68" s="8">
        <v>-6.8244363892029647E-2</v>
      </c>
      <c r="HW68" s="8">
        <v>0.1536054615657953</v>
      </c>
      <c r="HX68" s="8">
        <v>0.12190757035310612</v>
      </c>
      <c r="HY68" s="8">
        <v>3.1702239964117196E-2</v>
      </c>
      <c r="HZ68" s="8">
        <v>-6.1105850585097599E-2</v>
      </c>
      <c r="IA68" s="8">
        <v>5.7664901605645857E-2</v>
      </c>
      <c r="IB68" s="8">
        <v>4.3693923010977576E-2</v>
      </c>
      <c r="IC68" s="8">
        <v>-5.904803990819274E-3</v>
      </c>
      <c r="ID68" s="8">
        <v>2.4317783899648282E-2</v>
      </c>
      <c r="IE68" s="8">
        <v>-1.0270384878096728E-2</v>
      </c>
      <c r="IF68" s="8">
        <v>-5.953462377572305E-2</v>
      </c>
      <c r="IG68" s="8">
        <v>0.10488239949507089</v>
      </c>
      <c r="IH68" s="8">
        <v>-8.7446935444623897E-2</v>
      </c>
      <c r="II68" s="8">
        <v>8.5609892473424487E-2</v>
      </c>
      <c r="IJ68" s="8">
        <v>-2.6454018989157946E-2</v>
      </c>
      <c r="IK68" s="8">
        <v>0.12238702684829789</v>
      </c>
      <c r="IL68" s="8">
        <v>1.6166355862774595E-2</v>
      </c>
      <c r="IM68" s="8">
        <v>-4.1972775088263914E-2</v>
      </c>
      <c r="IN68" s="8">
        <v>-6.1396939944117768E-3</v>
      </c>
      <c r="IO68" s="8">
        <v>-1.2053568117988522E-2</v>
      </c>
      <c r="IP68" s="8">
        <v>-3.7747442412108201E-2</v>
      </c>
      <c r="IQ68" s="8">
        <v>2.5983857514536968E-2</v>
      </c>
      <c r="IR68" s="8">
        <v>-8.7980229890117001E-2</v>
      </c>
      <c r="IS68" s="8">
        <v>-2.8650992471901005E-2</v>
      </c>
      <c r="IT68" s="8">
        <v>1.7611252420548951E-2</v>
      </c>
    </row>
    <row r="69" spans="1:254" s="11" customFormat="1" x14ac:dyDescent="0.2">
      <c r="A69" s="10"/>
      <c r="B69" s="12">
        <v>4</v>
      </c>
      <c r="C69" s="2">
        <f t="shared" si="43"/>
        <v>2.6792758854591283E-2</v>
      </c>
      <c r="D69" s="3">
        <f t="shared" si="44"/>
        <v>9.0430016093088872E-2</v>
      </c>
      <c r="E69" s="8">
        <v>-0.18186102134214213</v>
      </c>
      <c r="F69" s="8">
        <v>1.6380846409033645E-2</v>
      </c>
      <c r="G69" s="8">
        <v>0.15560774560912904</v>
      </c>
      <c r="H69" s="8">
        <v>-5.2273197068596206E-2</v>
      </c>
      <c r="I69" s="8">
        <v>-1.2267455174921005E-2</v>
      </c>
      <c r="J69" s="8">
        <v>4.8508890451071374E-2</v>
      </c>
      <c r="K69" s="8">
        <v>-1.1730372328101091E-2</v>
      </c>
      <c r="L69" s="8">
        <v>0.16942910766438779</v>
      </c>
      <c r="M69" s="8">
        <v>-4.7841367061662643E-2</v>
      </c>
      <c r="N69" s="8">
        <v>-2.1847068288552485E-2</v>
      </c>
      <c r="O69" s="8">
        <v>-5.6677939628629465E-2</v>
      </c>
      <c r="P69" s="8">
        <v>-3.4531270966831562E-2</v>
      </c>
      <c r="Q69" s="8">
        <v>1.9450331139655108E-2</v>
      </c>
      <c r="R69" s="8">
        <v>3.6990021675539386E-2</v>
      </c>
      <c r="S69" s="8">
        <v>-2.8568359484344774E-2</v>
      </c>
      <c r="T69" s="8">
        <v>-6.958639283547452E-4</v>
      </c>
      <c r="U69" s="8">
        <v>-6.1617102657567119E-2</v>
      </c>
      <c r="V69" s="8">
        <v>-9.4980726516702974E-3</v>
      </c>
      <c r="W69" s="8">
        <v>-5.94006872681343E-2</v>
      </c>
      <c r="X69" s="8">
        <v>-1.6126134394905012E-2</v>
      </c>
      <c r="Y69" s="8">
        <v>-0.15242673792215625</v>
      </c>
      <c r="Z69" s="8">
        <v>-0.12700109371481638</v>
      </c>
      <c r="AA69" s="8">
        <v>-6.7491246861584531E-2</v>
      </c>
      <c r="AB69" s="8">
        <v>1.3391637870783069E-2</v>
      </c>
      <c r="AC69" s="8">
        <v>1.0286024063877408E-2</v>
      </c>
      <c r="AD69" s="8">
        <v>1.7786648473180233E-2</v>
      </c>
      <c r="AE69" s="8">
        <v>5.0683947630848547E-2</v>
      </c>
      <c r="AF69" s="8">
        <v>-9.3884158544791874E-2</v>
      </c>
      <c r="AG69" s="8">
        <v>-2.3122093041293923E-2</v>
      </c>
      <c r="AH69" s="8">
        <v>-4.6738669905726504E-3</v>
      </c>
      <c r="AI69" s="8">
        <v>-6.7581844478619701E-3</v>
      </c>
      <c r="AJ69" s="8">
        <v>4.942121104831837E-2</v>
      </c>
      <c r="AK69" s="8">
        <v>-7.2495907088410971E-2</v>
      </c>
      <c r="AL69" s="8">
        <v>-5.7985838109252064E-2</v>
      </c>
      <c r="AM69" s="8">
        <v>0.11457043782197002</v>
      </c>
      <c r="AN69" s="8">
        <v>-6.3622869980910712E-2</v>
      </c>
      <c r="AO69" s="8">
        <v>-1.480494996739129E-2</v>
      </c>
      <c r="AP69" s="8">
        <v>3.0706340319716474E-2</v>
      </c>
      <c r="AQ69" s="8">
        <v>-8.6682577407580785E-2</v>
      </c>
      <c r="AR69" s="8">
        <v>0.1011492053182787</v>
      </c>
      <c r="AS69" s="8">
        <v>9.1940542940268655E-3</v>
      </c>
      <c r="AT69" s="8">
        <v>-1.9560398558215841E-2</v>
      </c>
      <c r="AU69" s="8">
        <v>7.1208103733605421E-3</v>
      </c>
      <c r="AV69" s="8">
        <v>0.15341469672860703</v>
      </c>
      <c r="AW69" s="8">
        <v>-5.6866603915582958E-3</v>
      </c>
      <c r="AX69" s="8">
        <v>-2.8358330910716989E-2</v>
      </c>
      <c r="AY69" s="8">
        <v>6.9860563922889252E-2</v>
      </c>
      <c r="AZ69" s="8">
        <v>-7.4388467959709326E-2</v>
      </c>
      <c r="BA69" s="8">
        <v>-9.1017920480089137E-2</v>
      </c>
      <c r="BB69" s="8">
        <v>-1.4012638122124499E-2</v>
      </c>
      <c r="BC69" s="8">
        <v>-0.1063819729739629</v>
      </c>
      <c r="BD69" s="8">
        <v>-2.4257271847519968E-2</v>
      </c>
      <c r="BE69" s="8">
        <v>4.2807721126454201E-2</v>
      </c>
      <c r="BF69" s="8">
        <v>2.0988522620434158E-2</v>
      </c>
      <c r="BG69" s="8">
        <v>0.17109962799005313</v>
      </c>
      <c r="BH69" s="8">
        <v>-0.1108810708942424</v>
      </c>
      <c r="BI69" s="8">
        <v>1.0347230193743062E-2</v>
      </c>
      <c r="BJ69" s="8">
        <v>2.4707553539120575E-3</v>
      </c>
      <c r="BK69" s="8">
        <v>3.6505479786015205E-2</v>
      </c>
      <c r="BL69" s="8">
        <v>9.0808953625717004E-2</v>
      </c>
      <c r="BM69" s="8">
        <v>2.7937736981220262E-2</v>
      </c>
      <c r="BN69" s="8">
        <v>5.9478477120044948E-2</v>
      </c>
      <c r="BO69" s="8">
        <v>-8.1171886430534579E-2</v>
      </c>
      <c r="BP69" s="8">
        <v>-1.3852408106465652E-2</v>
      </c>
      <c r="BQ69" s="8">
        <v>0.11512653427786046</v>
      </c>
      <c r="BR69" s="8">
        <v>1.122551477108219E-2</v>
      </c>
      <c r="BS69" s="8">
        <v>6.6526650527507447E-2</v>
      </c>
      <c r="BT69" s="8">
        <v>-8.8358026381486487E-2</v>
      </c>
      <c r="BU69" s="8">
        <v>1.6103790586943834E-2</v>
      </c>
      <c r="BV69" s="8">
        <v>2.5797614695163895E-2</v>
      </c>
      <c r="BW69" s="8">
        <v>-2.5585329399069989E-2</v>
      </c>
      <c r="BX69" s="8">
        <v>-0.14216920998546606</v>
      </c>
      <c r="BY69" s="8">
        <v>-1.8412341886036243E-2</v>
      </c>
      <c r="BZ69" s="8">
        <v>2.5105458193847185E-2</v>
      </c>
      <c r="CA69" s="8">
        <v>-2.7801547259335258E-2</v>
      </c>
      <c r="CB69" s="8">
        <v>3.2212298525287453E-2</v>
      </c>
      <c r="CC69" s="8">
        <v>0.12699750191972492</v>
      </c>
      <c r="CD69" s="8">
        <v>0.15798266853204657</v>
      </c>
      <c r="CE69" s="8">
        <v>3.694315795783315E-2</v>
      </c>
      <c r="CF69" s="8">
        <v>-3.9455993287745628E-2</v>
      </c>
      <c r="CG69" s="8">
        <v>6.7255457058984114E-2</v>
      </c>
      <c r="CH69" s="8">
        <v>9.0237865915964222E-2</v>
      </c>
      <c r="CI69" s="8">
        <v>-5.5489704780655263E-2</v>
      </c>
      <c r="CJ69" s="8">
        <v>-3.098393075449507E-2</v>
      </c>
      <c r="CK69" s="8">
        <v>1.7667365763045284E-2</v>
      </c>
      <c r="CL69" s="8">
        <v>2.6986665136817856E-2</v>
      </c>
      <c r="CM69" s="8">
        <v>7.7514615146723143E-2</v>
      </c>
      <c r="CN69" s="8">
        <v>2.1033157957178028E-2</v>
      </c>
      <c r="CO69" s="8">
        <v>1.4774507642535961E-2</v>
      </c>
      <c r="CP69" s="8">
        <v>2.1970022738686368E-2</v>
      </c>
      <c r="CQ69" s="8">
        <v>8.6661131163608129E-2</v>
      </c>
      <c r="CR69" s="8">
        <v>-1.7904525456525433E-2</v>
      </c>
      <c r="CS69" s="8">
        <v>-5.488239718120036E-2</v>
      </c>
      <c r="CT69" s="8">
        <v>-5.5933329920098696E-2</v>
      </c>
      <c r="CU69" s="8">
        <v>-3.7492658927464895E-2</v>
      </c>
      <c r="CV69" s="8">
        <v>-2.4649759931595017E-2</v>
      </c>
      <c r="CW69" s="8">
        <v>4.1277423224665932E-2</v>
      </c>
      <c r="CX69" s="8">
        <v>-3.9834860802743233E-2</v>
      </c>
      <c r="CY69" s="8">
        <v>5.2422891063143795E-2</v>
      </c>
      <c r="CZ69" s="8">
        <v>6.3327502450028827E-2</v>
      </c>
      <c r="DA69" s="8">
        <v>3.5977932537619106E-2</v>
      </c>
      <c r="DB69" s="8">
        <v>-2.2894901978129323E-2</v>
      </c>
      <c r="DC69" s="8">
        <v>-4.0259484378459276E-3</v>
      </c>
      <c r="DD69" s="8">
        <v>-2.2719453752298946E-2</v>
      </c>
      <c r="DE69" s="8">
        <v>2.7694687534155882E-2</v>
      </c>
      <c r="DF69" s="8">
        <v>3.46289528543961E-2</v>
      </c>
      <c r="DG69" s="8">
        <v>-0.14041244917901888</v>
      </c>
      <c r="DH69" s="8">
        <v>-5.481001819796949E-2</v>
      </c>
      <c r="DI69" s="8">
        <v>-2.9007231079820728E-2</v>
      </c>
      <c r="DJ69" s="8">
        <v>-1.8001804761942242E-2</v>
      </c>
      <c r="DK69" s="8">
        <v>2.6510471953767378E-2</v>
      </c>
      <c r="DL69" s="8">
        <v>-5.6567003265335619E-2</v>
      </c>
      <c r="DM69" s="8">
        <v>-7.1147300506908484E-2</v>
      </c>
      <c r="DN69" s="8">
        <v>3.5479993250155828E-2</v>
      </c>
      <c r="DO69" s="8">
        <v>-7.5139438945517473E-2</v>
      </c>
      <c r="DP69" s="8">
        <v>6.0249997840526148E-2</v>
      </c>
      <c r="DQ69" s="8">
        <v>1.0219446236879315E-2</v>
      </c>
      <c r="DR69" s="8">
        <v>-5.6838100687193305E-2</v>
      </c>
      <c r="DS69" s="8">
        <v>9.5391177438999553E-2</v>
      </c>
      <c r="DT69" s="8">
        <v>-4.3560102665724465E-2</v>
      </c>
      <c r="DU69" s="8">
        <v>-6.323522168970766E-2</v>
      </c>
      <c r="DV69" s="8">
        <v>-1.4146272717734332E-2</v>
      </c>
      <c r="DW69" s="8">
        <v>-6.5952862331874473E-3</v>
      </c>
      <c r="DX69" s="8">
        <v>-1.3293843566825725E-2</v>
      </c>
      <c r="DY69" s="8">
        <v>-2.0363658862745715E-2</v>
      </c>
      <c r="DZ69" s="8">
        <v>-0.12324916748498632</v>
      </c>
      <c r="EA69" s="8">
        <v>3.1653456769997923E-2</v>
      </c>
      <c r="EB69" s="8">
        <v>-3.786936001935165E-2</v>
      </c>
      <c r="EC69" s="8">
        <v>0.12109349444832918</v>
      </c>
      <c r="ED69" s="8">
        <v>5.9282796261811932E-2</v>
      </c>
      <c r="EE69" s="8">
        <v>2.3035058879739667E-2</v>
      </c>
      <c r="EF69" s="8">
        <v>2.5684868048118037E-2</v>
      </c>
      <c r="EG69" s="8">
        <v>-0.11021279302603432</v>
      </c>
      <c r="EH69" s="8">
        <v>-9.187281785028123E-2</v>
      </c>
      <c r="EI69" s="8">
        <v>-0.15805627287461346</v>
      </c>
      <c r="EJ69" s="8">
        <v>1.6191640197275203E-2</v>
      </c>
      <c r="EK69" s="8">
        <v>-2.7969597297496318E-2</v>
      </c>
      <c r="EL69" s="8">
        <v>1.1709454126237695E-2</v>
      </c>
      <c r="EM69" s="8">
        <v>-5.7917809938235754E-2</v>
      </c>
      <c r="EN69" s="8">
        <v>-6.9015505500841234E-2</v>
      </c>
      <c r="EO69" s="8">
        <v>7.9513958030217768E-2</v>
      </c>
      <c r="EP69" s="8">
        <v>2.980476786074937E-3</v>
      </c>
      <c r="EQ69" s="8">
        <v>2.8479605870757818E-2</v>
      </c>
      <c r="ER69" s="8">
        <v>-3.7187817607017837E-3</v>
      </c>
      <c r="ES69" s="8">
        <v>6.9966898311770165E-2</v>
      </c>
      <c r="ET69" s="8">
        <v>5.7753079849833078E-2</v>
      </c>
      <c r="EU69" s="8">
        <v>-2.032023302091418E-2</v>
      </c>
      <c r="EV69" s="8">
        <v>-3.3677073045395245E-2</v>
      </c>
      <c r="EW69" s="8">
        <v>0.12115258002117524</v>
      </c>
      <c r="EX69" s="8">
        <v>-7.5712717980855326E-3</v>
      </c>
      <c r="EY69" s="8">
        <v>4.8443101304236458E-2</v>
      </c>
      <c r="EZ69" s="8">
        <v>3.5986470753589572E-2</v>
      </c>
      <c r="FA69" s="8">
        <v>-0.11425777255032252</v>
      </c>
      <c r="FB69" s="8">
        <v>2.9557531884709332E-2</v>
      </c>
      <c r="FC69" s="8">
        <v>-8.5287367867344449E-2</v>
      </c>
      <c r="FD69" s="8">
        <v>-1.9708859439887372E-2</v>
      </c>
      <c r="FE69" s="8">
        <v>-8.5824437251358243E-2</v>
      </c>
      <c r="FF69" s="8">
        <v>6.7944061019900415E-2</v>
      </c>
      <c r="FG69" s="8">
        <v>6.4718563647916227E-2</v>
      </c>
      <c r="FH69" s="8">
        <v>6.8733364023039145E-2</v>
      </c>
      <c r="FI69" s="8">
        <v>1.6486631007778085E-2</v>
      </c>
      <c r="FJ69" s="8">
        <v>-1.4458735501888975E-2</v>
      </c>
      <c r="FK69" s="8">
        <v>2.4171145653426096E-2</v>
      </c>
      <c r="FL69" s="8">
        <v>2.9039181503228761E-2</v>
      </c>
      <c r="FM69" s="8">
        <v>0.14711822836133637</v>
      </c>
      <c r="FN69" s="8">
        <v>-9.7274114927634936E-2</v>
      </c>
      <c r="FO69" s="8">
        <v>-2.9416091507676045E-2</v>
      </c>
      <c r="FP69" s="8">
        <v>-2.4327678491817217E-2</v>
      </c>
      <c r="FQ69" s="8">
        <v>-8.9618484216021144E-2</v>
      </c>
      <c r="FR69" s="8">
        <v>-0.10020440692894572</v>
      </c>
      <c r="FS69" s="8">
        <v>-5.7059839591398931E-2</v>
      </c>
      <c r="FT69" s="8">
        <v>-0.10963531987838157</v>
      </c>
      <c r="FU69" s="8">
        <v>3.3489917190980656E-2</v>
      </c>
      <c r="FV69" s="8">
        <v>-5.9007095786689501E-4</v>
      </c>
      <c r="FW69" s="8">
        <v>9.0430016093088872E-2</v>
      </c>
      <c r="FX69" s="8">
        <v>2.5094476090254392E-3</v>
      </c>
      <c r="FY69" s="8">
        <v>5.7828144974727602E-2</v>
      </c>
      <c r="FZ69" s="8">
        <v>-7.2233323334907285E-2</v>
      </c>
      <c r="GA69" s="8">
        <v>-9.3190047512443502E-2</v>
      </c>
      <c r="GB69" s="8">
        <v>1.8269507634318061E-2</v>
      </c>
      <c r="GC69" s="8">
        <v>-9.4474041454457813E-2</v>
      </c>
      <c r="GD69" s="8">
        <v>-5.0856532435292201E-3</v>
      </c>
      <c r="GE69" s="8">
        <v>5.4497340064205535E-2</v>
      </c>
      <c r="GF69" s="8">
        <v>9.5170389697233404E-2</v>
      </c>
      <c r="GG69" s="8">
        <v>-6.1261536965550728E-2</v>
      </c>
      <c r="GH69" s="8">
        <v>-2.6146092232384399E-2</v>
      </c>
      <c r="GI69" s="8">
        <v>5.8691194396371105E-2</v>
      </c>
      <c r="GJ69" s="8">
        <v>3.0876520530492946E-2</v>
      </c>
      <c r="GK69" s="8">
        <v>1.7069515735647578E-2</v>
      </c>
      <c r="GL69" s="8">
        <v>-6.32162322472275E-2</v>
      </c>
      <c r="GM69" s="8">
        <v>-1.1556052695550489E-2</v>
      </c>
      <c r="GN69" s="8">
        <v>9.7118916434773384E-2</v>
      </c>
      <c r="GO69" s="8">
        <v>-2.3202632883866203E-2</v>
      </c>
      <c r="GP69" s="8">
        <v>5.844596826724574E-2</v>
      </c>
      <c r="GQ69" s="8">
        <v>-0.13670850776829641</v>
      </c>
      <c r="GR69" s="8">
        <v>0.13139530676637456</v>
      </c>
      <c r="GS69" s="8">
        <v>2.664724014979164E-2</v>
      </c>
      <c r="GT69" s="8">
        <v>-3.6346891296647865E-2</v>
      </c>
      <c r="GU69" s="8">
        <v>-2.7083773850607507E-2</v>
      </c>
      <c r="GV69" s="8">
        <v>-9.6309417249099943E-2</v>
      </c>
      <c r="GW69" s="8">
        <v>-7.4421896623647454E-2</v>
      </c>
      <c r="GX69" s="8">
        <v>-2.0542023840577961E-2</v>
      </c>
      <c r="GY69" s="8">
        <v>3.0292436816827917E-2</v>
      </c>
      <c r="GZ69" s="8">
        <v>-7.7838590918501788E-2</v>
      </c>
      <c r="HA69" s="8">
        <v>1.3547944247852772E-2</v>
      </c>
      <c r="HB69" s="8">
        <v>0.12052756125090774</v>
      </c>
      <c r="HC69" s="8">
        <v>-9.4112591850022742E-2</v>
      </c>
      <c r="HD69" s="8">
        <v>-5.8147864840303487E-2</v>
      </c>
      <c r="HE69" s="8">
        <v>-5.9765400812151537E-2</v>
      </c>
      <c r="HF69" s="8">
        <v>-0.10035217124503601</v>
      </c>
      <c r="HG69" s="8">
        <v>6.9924884705935053E-2</v>
      </c>
      <c r="HH69" s="8">
        <v>9.5497942551736104E-2</v>
      </c>
      <c r="HI69" s="8">
        <v>-3.2371847890597605E-2</v>
      </c>
      <c r="HJ69" s="8">
        <v>-4.3441879753551238E-2</v>
      </c>
      <c r="HK69" s="8">
        <v>-4.1790458115183449E-3</v>
      </c>
      <c r="HL69" s="8">
        <v>7.0706006903749841E-2</v>
      </c>
      <c r="HM69" s="8">
        <v>-3.8272414380335518E-2</v>
      </c>
      <c r="HN69" s="8">
        <v>9.4754530679336646E-2</v>
      </c>
      <c r="HO69" s="8">
        <v>0.15587814198709032</v>
      </c>
      <c r="HP69" s="8">
        <v>1.2661496096858849E-2</v>
      </c>
      <c r="HQ69" s="8">
        <v>-0.11583043135091897</v>
      </c>
      <c r="HR69" s="8">
        <v>4.4656187931130797E-2</v>
      </c>
      <c r="HS69" s="8">
        <v>7.0244289609818156E-2</v>
      </c>
      <c r="HT69" s="8">
        <v>8.205370847646537E-2</v>
      </c>
      <c r="HU69" s="8">
        <v>8.435254278938642E-2</v>
      </c>
      <c r="HV69" s="8">
        <v>-8.3093787561327792E-2</v>
      </c>
      <c r="HW69" s="8">
        <v>0.13049273931121991</v>
      </c>
      <c r="HX69" s="8">
        <v>9.4804250460472694E-2</v>
      </c>
      <c r="HY69" s="8">
        <v>5.7344678803281091E-3</v>
      </c>
      <c r="HZ69" s="8">
        <v>-6.6050381923065254E-2</v>
      </c>
      <c r="IA69" s="8">
        <v>7.323907628506271E-2</v>
      </c>
      <c r="IB69" s="8">
        <v>2.3517837664902452E-2</v>
      </c>
      <c r="IC69" s="8">
        <v>2.2731987425489042E-2</v>
      </c>
      <c r="ID69" s="8">
        <v>2.3193171143101321E-2</v>
      </c>
      <c r="IE69" s="8">
        <v>-2.3897077040847425E-2</v>
      </c>
      <c r="IF69" s="8">
        <v>-5.4421264663699898E-2</v>
      </c>
      <c r="IG69" s="8">
        <v>7.505361677923067E-2</v>
      </c>
      <c r="IH69" s="8">
        <v>-0.11419938189460133</v>
      </c>
      <c r="II69" s="8">
        <v>0.10089561390565988</v>
      </c>
      <c r="IJ69" s="8">
        <v>-3.8480111152326801E-2</v>
      </c>
      <c r="IK69" s="8">
        <v>0.12536023629181425</v>
      </c>
      <c r="IL69" s="8">
        <v>6.9110890246509848E-4</v>
      </c>
      <c r="IM69" s="8">
        <v>-7.8732734432799739E-2</v>
      </c>
      <c r="IN69" s="8">
        <v>-3.8044179036261783E-4</v>
      </c>
      <c r="IO69" s="8">
        <v>-4.1476574142627454E-2</v>
      </c>
      <c r="IP69" s="8">
        <v>-5.6477347701988811E-2</v>
      </c>
      <c r="IQ69" s="8">
        <v>2.9269103321381273E-2</v>
      </c>
      <c r="IR69" s="8">
        <v>-6.4377398096612054E-2</v>
      </c>
      <c r="IS69" s="8">
        <v>-2.7543894288634796E-2</v>
      </c>
      <c r="IT69" s="8">
        <v>3.7274277417374602E-2</v>
      </c>
    </row>
    <row r="70" spans="1:254" s="11" customFormat="1" x14ac:dyDescent="0.2">
      <c r="A70" s="10"/>
      <c r="B70" s="12">
        <v>4.25</v>
      </c>
      <c r="C70" s="2">
        <f t="shared" si="43"/>
        <v>2.6652690717872966E-2</v>
      </c>
      <c r="D70" s="3">
        <f t="shared" si="44"/>
        <v>8.4678983932373053E-2</v>
      </c>
      <c r="E70" s="8">
        <v>-0.1873639640510758</v>
      </c>
      <c r="F70" s="8">
        <v>4.0410322262155907E-2</v>
      </c>
      <c r="G70" s="8">
        <v>0.12203623997279905</v>
      </c>
      <c r="H70" s="8">
        <v>-5.8215532391517333E-2</v>
      </c>
      <c r="I70" s="8">
        <v>-1.1273218788739742E-2</v>
      </c>
      <c r="J70" s="8">
        <v>6.2698269984005961E-2</v>
      </c>
      <c r="K70" s="8">
        <v>2.4039865561174822E-3</v>
      </c>
      <c r="L70" s="8">
        <v>0.12499389996533489</v>
      </c>
      <c r="M70" s="8">
        <v>-4.4789863707034666E-2</v>
      </c>
      <c r="N70" s="8">
        <v>-2.5848954541606045E-2</v>
      </c>
      <c r="O70" s="8">
        <v>-4.8110423399677832E-2</v>
      </c>
      <c r="P70" s="8">
        <v>-7.5710051597769057E-2</v>
      </c>
      <c r="Q70" s="8">
        <v>1.1168293015212938E-2</v>
      </c>
      <c r="R70" s="8">
        <v>3.962794053727714E-2</v>
      </c>
      <c r="S70" s="8">
        <v>-2.8533101377203329E-2</v>
      </c>
      <c r="T70" s="8">
        <v>2.1423715115802378E-2</v>
      </c>
      <c r="U70" s="8">
        <v>-5.7691062943407978E-2</v>
      </c>
      <c r="V70" s="8">
        <v>-4.1801343583409201E-2</v>
      </c>
      <c r="W70" s="8">
        <v>-6.4245025803221445E-2</v>
      </c>
      <c r="X70" s="8">
        <v>-1.8922380074533868E-2</v>
      </c>
      <c r="Y70" s="8">
        <v>-0.12963262795262029</v>
      </c>
      <c r="Z70" s="8">
        <v>-0.1062223743524143</v>
      </c>
      <c r="AA70" s="8">
        <v>-5.3747299955090228E-2</v>
      </c>
      <c r="AB70" s="8">
        <v>2.4302641323483698E-2</v>
      </c>
      <c r="AC70" s="8">
        <v>1.1596688149740464E-2</v>
      </c>
      <c r="AD70" s="8">
        <v>-2.785643983674202E-3</v>
      </c>
      <c r="AE70" s="8">
        <v>4.7605309611531865E-2</v>
      </c>
      <c r="AF70" s="8">
        <v>-8.2855473255914552E-2</v>
      </c>
      <c r="AG70" s="8">
        <v>-3.7706072960577819E-2</v>
      </c>
      <c r="AH70" s="8">
        <v>-2.9296404062883696E-2</v>
      </c>
      <c r="AI70" s="8">
        <v>-7.7662413109338413E-3</v>
      </c>
      <c r="AJ70" s="8">
        <v>5.1336094305742652E-2</v>
      </c>
      <c r="AK70" s="8">
        <v>-7.3461378283248724E-2</v>
      </c>
      <c r="AL70" s="8">
        <v>-5.4440836531420678E-2</v>
      </c>
      <c r="AM70" s="8">
        <v>0.11600217676834407</v>
      </c>
      <c r="AN70" s="8">
        <v>-3.1611985938753917E-2</v>
      </c>
      <c r="AO70" s="8">
        <v>-1.1828211052035131E-3</v>
      </c>
      <c r="AP70" s="8">
        <v>3.1831234791036167E-2</v>
      </c>
      <c r="AQ70" s="8">
        <v>-0.11180176772129852</v>
      </c>
      <c r="AR70" s="8">
        <v>0.10114959470323714</v>
      </c>
      <c r="AS70" s="8">
        <v>1.4297170580798879E-2</v>
      </c>
      <c r="AT70" s="8">
        <v>6.0937335612552546E-3</v>
      </c>
      <c r="AU70" s="8">
        <v>1.1269337811335767E-2</v>
      </c>
      <c r="AV70" s="8">
        <v>0.13747099485112746</v>
      </c>
      <c r="AW70" s="8">
        <v>-1.8202958016790505E-2</v>
      </c>
      <c r="AX70" s="8">
        <v>-1.0587026593813803E-2</v>
      </c>
      <c r="AY70" s="8">
        <v>9.2140773084430139E-2</v>
      </c>
      <c r="AZ70" s="8">
        <v>-7.8155746039679813E-2</v>
      </c>
      <c r="BA70" s="8">
        <v>-9.2969327418842507E-2</v>
      </c>
      <c r="BB70" s="8">
        <v>-3.3677530802411898E-2</v>
      </c>
      <c r="BC70" s="8">
        <v>-0.11967363302886941</v>
      </c>
      <c r="BD70" s="8">
        <v>-1.7870913003666972E-2</v>
      </c>
      <c r="BE70" s="8">
        <v>4.9495869226535705E-2</v>
      </c>
      <c r="BF70" s="8">
        <v>4.7317947794232651E-2</v>
      </c>
      <c r="BG70" s="8">
        <v>0.10878527432996932</v>
      </c>
      <c r="BH70" s="8">
        <v>-7.7030781993663033E-2</v>
      </c>
      <c r="BI70" s="8">
        <v>1.5764412584190646E-2</v>
      </c>
      <c r="BJ70" s="8">
        <v>7.4453914712995228E-3</v>
      </c>
      <c r="BK70" s="8">
        <v>3.6955660397508139E-2</v>
      </c>
      <c r="BL70" s="8">
        <v>5.1383767210996523E-2</v>
      </c>
      <c r="BM70" s="8">
        <v>4.183007828459645E-2</v>
      </c>
      <c r="BN70" s="8">
        <v>8.699920488110352E-2</v>
      </c>
      <c r="BO70" s="8">
        <v>-6.1770674310337753E-2</v>
      </c>
      <c r="BP70" s="8">
        <v>6.9098467054530543E-3</v>
      </c>
      <c r="BQ70" s="8">
        <v>6.7730510317130121E-2</v>
      </c>
      <c r="BR70" s="8">
        <v>1.130730445286815E-2</v>
      </c>
      <c r="BS70" s="8">
        <v>7.3374139908269409E-2</v>
      </c>
      <c r="BT70" s="8">
        <v>-8.1524305109770073E-2</v>
      </c>
      <c r="BU70" s="8">
        <v>4.3739323310472644E-2</v>
      </c>
      <c r="BV70" s="8">
        <v>6.7998078733708389E-3</v>
      </c>
      <c r="BW70" s="8">
        <v>-2.5441768283119892E-2</v>
      </c>
      <c r="BX70" s="8">
        <v>-0.15998007428113317</v>
      </c>
      <c r="BY70" s="8">
        <v>-2.3336961220777275E-2</v>
      </c>
      <c r="BZ70" s="8">
        <v>3.2800673661918023E-2</v>
      </c>
      <c r="CA70" s="8">
        <v>-4.0645031412872512E-2</v>
      </c>
      <c r="CB70" s="8">
        <v>5.5802190066188584E-2</v>
      </c>
      <c r="CC70" s="8">
        <v>0.13038810607539936</v>
      </c>
      <c r="CD70" s="8">
        <v>0.10008266092398022</v>
      </c>
      <c r="CE70" s="8">
        <v>5.2902280515668754E-2</v>
      </c>
      <c r="CF70" s="8">
        <v>1.0714167946733855E-2</v>
      </c>
      <c r="CG70" s="8">
        <v>3.7442331514047578E-2</v>
      </c>
      <c r="CH70" s="8">
        <v>5.4755467200717556E-2</v>
      </c>
      <c r="CI70" s="8">
        <v>-7.2527931052498662E-2</v>
      </c>
      <c r="CJ70" s="8">
        <v>-7.5373899906563707E-2</v>
      </c>
      <c r="CK70" s="8">
        <v>1.1885090202917392E-2</v>
      </c>
      <c r="CL70" s="8">
        <v>4.0292864460926003E-3</v>
      </c>
      <c r="CM70" s="8">
        <v>9.0210677085488744E-2</v>
      </c>
      <c r="CN70" s="8">
        <v>5.894485728361154E-2</v>
      </c>
      <c r="CO70" s="8">
        <v>-4.2117397666349421E-3</v>
      </c>
      <c r="CP70" s="8">
        <v>6.42897222634084E-3</v>
      </c>
      <c r="CQ70" s="8">
        <v>7.8601257369624866E-2</v>
      </c>
      <c r="CR70" s="8">
        <v>-1.4092948071540129E-2</v>
      </c>
      <c r="CS70" s="8">
        <v>-6.5058060789722733E-2</v>
      </c>
      <c r="CT70" s="8">
        <v>-3.6404042117767821E-2</v>
      </c>
      <c r="CU70" s="8">
        <v>-2.8006380045067281E-2</v>
      </c>
      <c r="CV70" s="8">
        <v>-2.0783613923802846E-2</v>
      </c>
      <c r="CW70" s="8">
        <v>5.0076751852652202E-2</v>
      </c>
      <c r="CX70" s="8">
        <v>-2.4220641679277899E-2</v>
      </c>
      <c r="CY70" s="8">
        <v>6.5628350996200013E-2</v>
      </c>
      <c r="CZ70" s="8">
        <v>3.8473947390062602E-2</v>
      </c>
      <c r="DA70" s="8">
        <v>5.4974772675070505E-2</v>
      </c>
      <c r="DB70" s="8">
        <v>-1.7954796825497804E-2</v>
      </c>
      <c r="DC70" s="8">
        <v>-1.7271068482873408E-2</v>
      </c>
      <c r="DD70" s="8">
        <v>-1.6969422388343286E-2</v>
      </c>
      <c r="DE70" s="8">
        <v>1.5774253417779993E-2</v>
      </c>
      <c r="DF70" s="8">
        <v>7.0085558559334016E-2</v>
      </c>
      <c r="DG70" s="8">
        <v>-0.14027777701225097</v>
      </c>
      <c r="DH70" s="8">
        <v>-4.6868101272524693E-2</v>
      </c>
      <c r="DI70" s="8">
        <v>-2.7747570029670876E-2</v>
      </c>
      <c r="DJ70" s="8">
        <v>-1.4278984244844639E-2</v>
      </c>
      <c r="DK70" s="8">
        <v>-1.3925089027757132E-2</v>
      </c>
      <c r="DL70" s="8">
        <v>-3.8204952976586354E-2</v>
      </c>
      <c r="DM70" s="8">
        <v>-0.13236585467727091</v>
      </c>
      <c r="DN70" s="8">
        <v>6.6123843980544827E-2</v>
      </c>
      <c r="DO70" s="8">
        <v>-6.2998068779419991E-2</v>
      </c>
      <c r="DP70" s="8">
        <v>7.4526763366298709E-2</v>
      </c>
      <c r="DQ70" s="8">
        <v>2.5253017604190464E-2</v>
      </c>
      <c r="DR70" s="8">
        <v>-7.1505220946207537E-2</v>
      </c>
      <c r="DS70" s="8">
        <v>7.9832333395124189E-2</v>
      </c>
      <c r="DT70" s="8">
        <v>-5.5009769123336383E-2</v>
      </c>
      <c r="DU70" s="8">
        <v>-5.5267485559904433E-2</v>
      </c>
      <c r="DV70" s="8">
        <v>5.304068093374692E-4</v>
      </c>
      <c r="DW70" s="8">
        <v>-2.1602969158545982E-2</v>
      </c>
      <c r="DX70" s="8">
        <v>8.2499292149547376E-3</v>
      </c>
      <c r="DY70" s="8">
        <v>-3.0260903650271398E-2</v>
      </c>
      <c r="DZ70" s="8">
        <v>-0.11183985027675189</v>
      </c>
      <c r="EA70" s="8">
        <v>4.9633326524589572E-2</v>
      </c>
      <c r="EB70" s="8">
        <v>-8.4870428547696442E-3</v>
      </c>
      <c r="EC70" s="8">
        <v>0.1061156895353737</v>
      </c>
      <c r="ED70" s="8">
        <v>5.3130838400051672E-2</v>
      </c>
      <c r="EE70" s="8">
        <v>4.1700635388164431E-2</v>
      </c>
      <c r="EF70" s="8">
        <v>5.5601631824952369E-2</v>
      </c>
      <c r="EG70" s="8">
        <v>-0.10172245113078626</v>
      </c>
      <c r="EH70" s="8">
        <v>-9.942357566801488E-2</v>
      </c>
      <c r="EI70" s="8">
        <v>-0.15847627248655921</v>
      </c>
      <c r="EJ70" s="8">
        <v>2.8651148008341953E-2</v>
      </c>
      <c r="EK70" s="8">
        <v>-3.4725348427937813E-2</v>
      </c>
      <c r="EL70" s="8">
        <v>1.2351906596513695E-2</v>
      </c>
      <c r="EM70" s="8">
        <v>-6.5302250180345439E-2</v>
      </c>
      <c r="EN70" s="8">
        <v>-5.7048630960591734E-2</v>
      </c>
      <c r="EO70" s="8">
        <v>5.5726478678217395E-2</v>
      </c>
      <c r="EP70" s="8">
        <v>1.3077230534994488E-2</v>
      </c>
      <c r="EQ70" s="8">
        <v>6.0024893119776379E-2</v>
      </c>
      <c r="ER70" s="8">
        <v>-3.5626032721630674E-4</v>
      </c>
      <c r="ES70" s="8">
        <v>5.8713262145736356E-2</v>
      </c>
      <c r="ET70" s="8">
        <v>2.0736339041398988E-2</v>
      </c>
      <c r="EU70" s="8">
        <v>-2.4062427904938927E-2</v>
      </c>
      <c r="EV70" s="8">
        <v>1.7332130859508688E-3</v>
      </c>
      <c r="EW70" s="8">
        <v>9.6709856137683181E-2</v>
      </c>
      <c r="EX70" s="8">
        <v>2.9465459214030598E-2</v>
      </c>
      <c r="EY70" s="8">
        <v>2.6377233718678006E-2</v>
      </c>
      <c r="EZ70" s="8">
        <v>1.8927180490745599E-2</v>
      </c>
      <c r="FA70" s="8">
        <v>-0.1003535534898724</v>
      </c>
      <c r="FB70" s="8">
        <v>-4.5649791142043927E-4</v>
      </c>
      <c r="FC70" s="8">
        <v>-8.3232481498258348E-2</v>
      </c>
      <c r="FD70" s="8">
        <v>-2.7434919446898243E-2</v>
      </c>
      <c r="FE70" s="8">
        <v>-7.4847740552179132E-2</v>
      </c>
      <c r="FF70" s="8">
        <v>4.4347217508614423E-2</v>
      </c>
      <c r="FG70" s="8">
        <v>5.4682907502376643E-2</v>
      </c>
      <c r="FH70" s="8">
        <v>4.1771742566760806E-2</v>
      </c>
      <c r="FI70" s="8">
        <v>2.2485379943752715E-2</v>
      </c>
      <c r="FJ70" s="8">
        <v>-2.4742926371129403E-2</v>
      </c>
      <c r="FK70" s="8">
        <v>1.8252080948831628E-2</v>
      </c>
      <c r="FL70" s="8">
        <v>2.6272131498468576E-2</v>
      </c>
      <c r="FM70" s="8">
        <v>0.1439158739270876</v>
      </c>
      <c r="FN70" s="8">
        <v>-7.796980114345517E-2</v>
      </c>
      <c r="FO70" s="8">
        <v>4.0414636197393106E-3</v>
      </c>
      <c r="FP70" s="8">
        <v>-4.7323029930117583E-2</v>
      </c>
      <c r="FQ70" s="8">
        <v>-0.10059614211052725</v>
      </c>
      <c r="FR70" s="8">
        <v>-8.69989455735313E-2</v>
      </c>
      <c r="FS70" s="8">
        <v>-3.8055524466180296E-2</v>
      </c>
      <c r="FT70" s="8">
        <v>-0.10171292410198013</v>
      </c>
      <c r="FU70" s="8">
        <v>-4.8842364317117914E-3</v>
      </c>
      <c r="FV70" s="8">
        <v>-8.6684625744337662E-3</v>
      </c>
      <c r="FW70" s="8">
        <v>6.8143168596341619E-2</v>
      </c>
      <c r="FX70" s="8">
        <v>9.1670511765720719E-4</v>
      </c>
      <c r="FY70" s="8">
        <v>5.2259094354408564E-2</v>
      </c>
      <c r="FZ70" s="8">
        <v>-7.5107284863783874E-2</v>
      </c>
      <c r="GA70" s="8">
        <v>-8.851728001800474E-2</v>
      </c>
      <c r="GB70" s="8">
        <v>2.9897616099013979E-2</v>
      </c>
      <c r="GC70" s="8">
        <v>-7.7410693316234375E-2</v>
      </c>
      <c r="GD70" s="8">
        <v>-7.4255030367069708E-3</v>
      </c>
      <c r="GE70" s="8">
        <v>8.5311758912442193E-2</v>
      </c>
      <c r="GF70" s="8">
        <v>7.8840352097423294E-2</v>
      </c>
      <c r="GG70" s="8">
        <v>-8.5468512024394871E-2</v>
      </c>
      <c r="GH70" s="8">
        <v>-2.4369279576002711E-2</v>
      </c>
      <c r="GI70" s="8">
        <v>9.612376803588879E-2</v>
      </c>
      <c r="GJ70" s="8">
        <v>3.9899271233456879E-2</v>
      </c>
      <c r="GK70" s="8">
        <v>5.7859447289514143E-3</v>
      </c>
      <c r="GL70" s="8">
        <v>-6.6566462352512651E-2</v>
      </c>
      <c r="GM70" s="8">
        <v>-1.4339212800227097E-2</v>
      </c>
      <c r="GN70" s="8">
        <v>8.3251858470733797E-2</v>
      </c>
      <c r="GO70" s="8">
        <v>-3.9423202461211754E-2</v>
      </c>
      <c r="GP70" s="8">
        <v>5.4720135607679687E-2</v>
      </c>
      <c r="GQ70" s="8">
        <v>-0.15096895442298919</v>
      </c>
      <c r="GR70" s="8">
        <v>0.1247783336100271</v>
      </c>
      <c r="GS70" s="8">
        <v>3.7262482485491133E-3</v>
      </c>
      <c r="GT70" s="8">
        <v>-3.476617025465728E-2</v>
      </c>
      <c r="GU70" s="8">
        <v>3.417165819726059E-2</v>
      </c>
      <c r="GV70" s="8">
        <v>-8.0541234688814523E-2</v>
      </c>
      <c r="GW70" s="8">
        <v>-8.1660327575474312E-2</v>
      </c>
      <c r="GX70" s="8">
        <v>-3.0987504367798763E-2</v>
      </c>
      <c r="GY70" s="8">
        <v>2.0508844799224824E-2</v>
      </c>
      <c r="GZ70" s="8">
        <v>-5.4877892823995661E-2</v>
      </c>
      <c r="HA70" s="8">
        <v>1.9925608979088072E-3</v>
      </c>
      <c r="HB70" s="8">
        <v>6.973578216072357E-2</v>
      </c>
      <c r="HC70" s="8">
        <v>-9.054871436931608E-2</v>
      </c>
      <c r="HD70" s="8">
        <v>-5.0529331212997242E-2</v>
      </c>
      <c r="HE70" s="8">
        <v>-7.7215612815716844E-2</v>
      </c>
      <c r="HF70" s="8">
        <v>-0.12488197408670579</v>
      </c>
      <c r="HG70" s="8">
        <v>5.0530771721979673E-2</v>
      </c>
      <c r="HH70" s="8">
        <v>6.5075364661377366E-2</v>
      </c>
      <c r="HI70" s="8">
        <v>-2.2660587600195237E-2</v>
      </c>
      <c r="HJ70" s="8">
        <v>-5.4813339639273401E-2</v>
      </c>
      <c r="HK70" s="8">
        <v>1.5303775183925283E-2</v>
      </c>
      <c r="HL70" s="8">
        <v>8.4678983932373053E-2</v>
      </c>
      <c r="HM70" s="8">
        <v>-1.0021627582977394E-2</v>
      </c>
      <c r="HN70" s="8">
        <v>0.12394159326018073</v>
      </c>
      <c r="HO70" s="8">
        <v>0.18727392996154013</v>
      </c>
      <c r="HP70" s="8">
        <v>8.5719390322299138E-3</v>
      </c>
      <c r="HQ70" s="8">
        <v>-0.12134632404180279</v>
      </c>
      <c r="HR70" s="8">
        <v>6.4213704189182375E-2</v>
      </c>
      <c r="HS70" s="8">
        <v>3.9269982081139965E-2</v>
      </c>
      <c r="HT70" s="8">
        <v>0.10393188244660034</v>
      </c>
      <c r="HU70" s="8">
        <v>0.10326658837165636</v>
      </c>
      <c r="HV70" s="8">
        <v>-5.8636724063542617E-2</v>
      </c>
      <c r="HW70" s="8">
        <v>0.12520814776620059</v>
      </c>
      <c r="HX70" s="8">
        <v>0.11656469603259151</v>
      </c>
      <c r="HY70" s="8">
        <v>-8.1943212324325776E-5</v>
      </c>
      <c r="HZ70" s="8">
        <v>-6.1931357442372631E-2</v>
      </c>
      <c r="IA70" s="8">
        <v>7.698016373175437E-2</v>
      </c>
      <c r="IB70" s="8">
        <v>5.2035676696161881E-2</v>
      </c>
      <c r="IC70" s="8">
        <v>2.2351639252764122E-2</v>
      </c>
      <c r="ID70" s="8">
        <v>3.6126483062471015E-2</v>
      </c>
      <c r="IE70" s="8">
        <v>-1.1938555288789232E-2</v>
      </c>
      <c r="IF70" s="8">
        <v>-1.3081916944857469E-2</v>
      </c>
      <c r="IG70" s="8">
        <v>8.2625170582925844E-2</v>
      </c>
      <c r="IH70" s="8">
        <v>-9.3345141315738317E-2</v>
      </c>
      <c r="II70" s="8">
        <v>0.12140253253635863</v>
      </c>
      <c r="IJ70" s="8">
        <v>-3.9711015171017827E-2</v>
      </c>
      <c r="IK70" s="8">
        <v>0.16203802552350571</v>
      </c>
      <c r="IL70" s="8">
        <v>6.6568406416170067E-3</v>
      </c>
      <c r="IM70" s="8">
        <v>-7.6428664477590474E-2</v>
      </c>
      <c r="IN70" s="8">
        <v>3.4785667844190293E-2</v>
      </c>
      <c r="IO70" s="8">
        <v>-5.5112946565867377E-2</v>
      </c>
      <c r="IP70" s="8">
        <v>-4.3762630102291061E-2</v>
      </c>
      <c r="IQ70" s="8">
        <v>2.0563281933272004E-2</v>
      </c>
      <c r="IR70" s="8">
        <v>-4.0407168248400821E-2</v>
      </c>
      <c r="IS70" s="8">
        <v>-1.9687824058192693E-2</v>
      </c>
      <c r="IT70" s="8">
        <v>2.5052714414673882E-2</v>
      </c>
    </row>
    <row r="71" spans="1:254" s="11" customFormat="1" x14ac:dyDescent="0.2">
      <c r="A71" s="10"/>
      <c r="B71" s="12">
        <v>4.5</v>
      </c>
      <c r="C71" s="2">
        <f t="shared" si="43"/>
        <v>2.6464782100848117E-2</v>
      </c>
      <c r="D71" s="3">
        <f t="shared" si="44"/>
        <v>8.0500943130563052E-2</v>
      </c>
      <c r="E71" s="8">
        <v>-0.16623251673933981</v>
      </c>
      <c r="F71" s="8">
        <v>3.3266900170855651E-2</v>
      </c>
      <c r="G71" s="8">
        <v>0.11537015262054273</v>
      </c>
      <c r="H71" s="8">
        <v>-3.2945700040145409E-2</v>
      </c>
      <c r="I71" s="8">
        <v>-5.0964400009533284E-2</v>
      </c>
      <c r="J71" s="8">
        <v>5.4300409857280157E-2</v>
      </c>
      <c r="K71" s="8">
        <v>3.0330318099503206E-3</v>
      </c>
      <c r="L71" s="8">
        <v>0.11775175742400079</v>
      </c>
      <c r="M71" s="8">
        <v>-2.3508688384388354E-2</v>
      </c>
      <c r="N71" s="8">
        <v>-3.4479740690897986E-2</v>
      </c>
      <c r="O71" s="8">
        <v>-5.6349406119052564E-2</v>
      </c>
      <c r="P71" s="8">
        <v>-6.1245001767837592E-2</v>
      </c>
      <c r="Q71" s="8">
        <v>-4.6310872511957396E-2</v>
      </c>
      <c r="R71" s="8">
        <v>5.8664750118373687E-2</v>
      </c>
      <c r="S71" s="8">
        <v>-5.2553656118611014E-3</v>
      </c>
      <c r="T71" s="8">
        <v>4.5359613111123354E-3</v>
      </c>
      <c r="U71" s="8">
        <v>-2.6050429200422304E-2</v>
      </c>
      <c r="V71" s="8">
        <v>-5.0774317766758059E-2</v>
      </c>
      <c r="W71" s="8">
        <v>-6.3613047791108962E-2</v>
      </c>
      <c r="X71" s="8">
        <v>-1.5137552380662944E-2</v>
      </c>
      <c r="Y71" s="8">
        <v>-0.10778264380179761</v>
      </c>
      <c r="Z71" s="8">
        <v>-0.12489502909798658</v>
      </c>
      <c r="AA71" s="8">
        <v>-5.8999361381281534E-2</v>
      </c>
      <c r="AB71" s="8">
        <v>2.2363803002349858E-3</v>
      </c>
      <c r="AC71" s="8">
        <v>2.7984956871290961E-2</v>
      </c>
      <c r="AD71" s="8">
        <v>1.4124757232229945E-2</v>
      </c>
      <c r="AE71" s="8">
        <v>4.4712380674147734E-2</v>
      </c>
      <c r="AF71" s="8">
        <v>-0.10582358014399704</v>
      </c>
      <c r="AG71" s="8">
        <v>-3.1692978292116453E-2</v>
      </c>
      <c r="AH71" s="8">
        <v>-3.9948296027218722E-2</v>
      </c>
      <c r="AI71" s="8">
        <v>-4.0508626170895345E-3</v>
      </c>
      <c r="AJ71" s="8">
        <v>5.6913579820462745E-2</v>
      </c>
      <c r="AK71" s="8">
        <v>-9.1206178678515382E-2</v>
      </c>
      <c r="AL71" s="8">
        <v>-5.2430191110353991E-2</v>
      </c>
      <c r="AM71" s="8">
        <v>0.12666695553983404</v>
      </c>
      <c r="AN71" s="8">
        <v>-2.9690824481351907E-2</v>
      </c>
      <c r="AO71" s="8">
        <v>2.4287567394443266E-2</v>
      </c>
      <c r="AP71" s="8">
        <v>2.5658993276887559E-2</v>
      </c>
      <c r="AQ71" s="8">
        <v>-8.8800807356981787E-2</v>
      </c>
      <c r="AR71" s="8">
        <v>7.9843074501785016E-2</v>
      </c>
      <c r="AS71" s="8">
        <v>-1.6639918649386604E-2</v>
      </c>
      <c r="AT71" s="8">
        <v>1.4045357979494355E-2</v>
      </c>
      <c r="AU71" s="8">
        <v>2.6683168091161003E-2</v>
      </c>
      <c r="AV71" s="8">
        <v>0.11320692110888975</v>
      </c>
      <c r="AW71" s="8">
        <v>2.411002622159078E-2</v>
      </c>
      <c r="AX71" s="8">
        <v>-4.5927331616165384E-2</v>
      </c>
      <c r="AY71" s="8">
        <v>0.11157948865129835</v>
      </c>
      <c r="AZ71" s="8">
        <v>-0.11753560187446299</v>
      </c>
      <c r="BA71" s="8">
        <v>-0.11189986831535848</v>
      </c>
      <c r="BB71" s="8">
        <v>-3.2414219767166214E-2</v>
      </c>
      <c r="BC71" s="8">
        <v>-9.8561234129317277E-2</v>
      </c>
      <c r="BD71" s="8">
        <v>2.4204753637938503E-2</v>
      </c>
      <c r="BE71" s="8">
        <v>6.0574256083730127E-2</v>
      </c>
      <c r="BF71" s="8">
        <v>5.7778747883089177E-2</v>
      </c>
      <c r="BG71" s="8">
        <v>9.511379736318526E-2</v>
      </c>
      <c r="BH71" s="8">
        <v>-8.082231906886761E-2</v>
      </c>
      <c r="BI71" s="8">
        <v>2.5668273560829791E-2</v>
      </c>
      <c r="BJ71" s="8">
        <v>9.6103441989901783E-3</v>
      </c>
      <c r="BK71" s="8">
        <v>7.9007125141803414E-3</v>
      </c>
      <c r="BL71" s="8">
        <v>5.7034910025264951E-2</v>
      </c>
      <c r="BM71" s="8">
        <v>3.498280858578201E-2</v>
      </c>
      <c r="BN71" s="8">
        <v>6.4968056496477855E-2</v>
      </c>
      <c r="BO71" s="8">
        <v>-6.3561823141962903E-2</v>
      </c>
      <c r="BP71" s="8">
        <v>2.3539384184032841E-3</v>
      </c>
      <c r="BQ71" s="8">
        <v>7.0026784814804593E-2</v>
      </c>
      <c r="BR71" s="8">
        <v>6.8021064851325475E-3</v>
      </c>
      <c r="BS71" s="8">
        <v>7.2802387960367393E-2</v>
      </c>
      <c r="BT71" s="8">
        <v>-5.7120839225917264E-2</v>
      </c>
      <c r="BU71" s="8">
        <v>4.9133253847406216E-2</v>
      </c>
      <c r="BV71" s="8">
        <v>1.9108659495976454E-2</v>
      </c>
      <c r="BW71" s="8">
        <v>-2.7786870363759542E-2</v>
      </c>
      <c r="BX71" s="8">
        <v>-0.15130822126246207</v>
      </c>
      <c r="BY71" s="8">
        <v>1.6621059152322815E-2</v>
      </c>
      <c r="BZ71" s="8">
        <v>4.0666197330710641E-2</v>
      </c>
      <c r="CA71" s="8">
        <v>-3.6333133741231566E-2</v>
      </c>
      <c r="CB71" s="8">
        <v>4.3423215789682057E-2</v>
      </c>
      <c r="CC71" s="8">
        <v>0.1500098935517189</v>
      </c>
      <c r="CD71" s="8">
        <v>8.0114428484685141E-2</v>
      </c>
      <c r="CE71" s="8">
        <v>3.3653390248458481E-2</v>
      </c>
      <c r="CF71" s="8">
        <v>2.7636713776781313E-2</v>
      </c>
      <c r="CG71" s="8">
        <v>3.2097162018674408E-2</v>
      </c>
      <c r="CH71" s="8">
        <v>4.1229074459691706E-2</v>
      </c>
      <c r="CI71" s="8">
        <v>-4.4940507333907198E-2</v>
      </c>
      <c r="CJ71" s="8">
        <v>-5.7298557447141962E-2</v>
      </c>
      <c r="CK71" s="8">
        <v>6.7421335064656307E-3</v>
      </c>
      <c r="CL71" s="8">
        <v>-1.3142699763225241E-2</v>
      </c>
      <c r="CM71" s="8">
        <v>9.2499147914406832E-2</v>
      </c>
      <c r="CN71" s="8">
        <v>7.4426699067694169E-2</v>
      </c>
      <c r="CO71" s="8">
        <v>-5.8912265347448312E-3</v>
      </c>
      <c r="CP71" s="8">
        <v>1.2484301466343661E-2</v>
      </c>
      <c r="CQ71" s="8">
        <v>5.3465599800058772E-2</v>
      </c>
      <c r="CR71" s="8">
        <v>-2.1159824182829245E-2</v>
      </c>
      <c r="CS71" s="8">
        <v>-2.6909114303048515E-2</v>
      </c>
      <c r="CT71" s="8">
        <v>-2.2205078878368312E-2</v>
      </c>
      <c r="CU71" s="8">
        <v>-2.5430783992537481E-2</v>
      </c>
      <c r="CV71" s="8">
        <v>1.1002938209646373E-2</v>
      </c>
      <c r="CW71" s="8">
        <v>-7.2705514108959146E-3</v>
      </c>
      <c r="CX71" s="8">
        <v>1.1146676549484147E-3</v>
      </c>
      <c r="CY71" s="8">
        <v>0.11138150377043865</v>
      </c>
      <c r="CZ71" s="8">
        <v>5.4027214839173082E-2</v>
      </c>
      <c r="DA71" s="8">
        <v>6.2328778099195598E-2</v>
      </c>
      <c r="DB71" s="8">
        <v>-9.8291629196101127E-3</v>
      </c>
      <c r="DC71" s="8">
        <v>-2.1731402667543448E-2</v>
      </c>
      <c r="DD71" s="8">
        <v>-7.863208387975551E-3</v>
      </c>
      <c r="DE71" s="8">
        <v>2.8043716355649062E-3</v>
      </c>
      <c r="DF71" s="8">
        <v>4.4915663576784531E-2</v>
      </c>
      <c r="DG71" s="8">
        <v>-0.11831823293513388</v>
      </c>
      <c r="DH71" s="8">
        <v>-3.4379059792973399E-2</v>
      </c>
      <c r="DI71" s="8">
        <v>-3.8931222875461774E-2</v>
      </c>
      <c r="DJ71" s="8">
        <v>9.7455933991353882E-3</v>
      </c>
      <c r="DK71" s="8">
        <v>8.5482189736381942E-3</v>
      </c>
      <c r="DL71" s="8">
        <v>-1.1781742202106954E-2</v>
      </c>
      <c r="DM71" s="8">
        <v>-0.11415222272293127</v>
      </c>
      <c r="DN71" s="8">
        <v>6.0500631843394242E-2</v>
      </c>
      <c r="DO71" s="8">
        <v>-7.1388350288730862E-2</v>
      </c>
      <c r="DP71" s="8">
        <v>2.9327321217093749E-2</v>
      </c>
      <c r="DQ71" s="8">
        <v>3.7447470929332677E-2</v>
      </c>
      <c r="DR71" s="8">
        <v>-4.769511464757048E-2</v>
      </c>
      <c r="DS71" s="8">
        <v>7.0284430595411118E-2</v>
      </c>
      <c r="DT71" s="8">
        <v>-5.6374869779165171E-2</v>
      </c>
      <c r="DU71" s="8">
        <v>-6.2065379587331049E-2</v>
      </c>
      <c r="DV71" s="8">
        <v>-3.3158828520169492E-2</v>
      </c>
      <c r="DW71" s="8">
        <v>-3.3790514220034956E-2</v>
      </c>
      <c r="DX71" s="8">
        <v>4.7028381253098883E-3</v>
      </c>
      <c r="DY71" s="8">
        <v>-7.2251471933385603E-2</v>
      </c>
      <c r="DZ71" s="8">
        <v>-0.11182100241168813</v>
      </c>
      <c r="EA71" s="8">
        <v>2.5947752474375418E-2</v>
      </c>
      <c r="EB71" s="8">
        <v>-1.6859818624384598E-2</v>
      </c>
      <c r="EC71" s="8">
        <v>9.6667865831259414E-2</v>
      </c>
      <c r="ED71" s="8">
        <v>5.0146491845907942E-2</v>
      </c>
      <c r="EE71" s="8">
        <v>1.0421665051760842E-2</v>
      </c>
      <c r="EF71" s="8">
        <v>4.2737674427061223E-2</v>
      </c>
      <c r="EG71" s="8">
        <v>-9.6341214156186461E-2</v>
      </c>
      <c r="EH71" s="8">
        <v>-0.10444488004818844</v>
      </c>
      <c r="EI71" s="8">
        <v>-0.15571485223452133</v>
      </c>
      <c r="EJ71" s="8">
        <v>4.4509058342622337E-2</v>
      </c>
      <c r="EK71" s="8">
        <v>-3.0343080758104546E-2</v>
      </c>
      <c r="EL71" s="8">
        <v>3.8080660430613228E-2</v>
      </c>
      <c r="EM71" s="8">
        <v>-6.4378837006479173E-2</v>
      </c>
      <c r="EN71" s="8">
        <v>-6.7078943200582802E-2</v>
      </c>
      <c r="EO71" s="8">
        <v>8.7808123690998052E-2</v>
      </c>
      <c r="EP71" s="8">
        <v>-1.0670494939449687E-2</v>
      </c>
      <c r="EQ71" s="8">
        <v>8.2623908928592449E-2</v>
      </c>
      <c r="ER71" s="8">
        <v>-4.1995630486320296E-2</v>
      </c>
      <c r="ES71" s="8">
        <v>8.0636764903480984E-2</v>
      </c>
      <c r="ET71" s="8">
        <v>3.1162996880875371E-2</v>
      </c>
      <c r="EU71" s="8">
        <v>-1.2563806458995047E-2</v>
      </c>
      <c r="EV71" s="8">
        <v>8.7518717219970399E-3</v>
      </c>
      <c r="EW71" s="8">
        <v>8.9011148665725015E-2</v>
      </c>
      <c r="EX71" s="8">
        <v>7.5446049105084845E-3</v>
      </c>
      <c r="EY71" s="8">
        <v>5.1736504085438784E-2</v>
      </c>
      <c r="EZ71" s="8">
        <v>2.7576281700426891E-2</v>
      </c>
      <c r="FA71" s="8">
        <v>-0.12911038788822313</v>
      </c>
      <c r="FB71" s="8">
        <v>2.8378696432008438E-2</v>
      </c>
      <c r="FC71" s="8">
        <v>-9.4733822330779649E-2</v>
      </c>
      <c r="FD71" s="8">
        <v>-2.6151163258038068E-2</v>
      </c>
      <c r="FE71" s="8">
        <v>-5.057401988683452E-2</v>
      </c>
      <c r="FF71" s="8">
        <v>5.0141898010209407E-2</v>
      </c>
      <c r="FG71" s="8">
        <v>3.3347917901606877E-2</v>
      </c>
      <c r="FH71" s="8">
        <v>8.0500943130563052E-2</v>
      </c>
      <c r="FI71" s="8">
        <v>-4.0712844091601585E-3</v>
      </c>
      <c r="FJ71" s="8">
        <v>-4.140009597364297E-3</v>
      </c>
      <c r="FK71" s="8">
        <v>2.6691502008348966E-2</v>
      </c>
      <c r="FL71" s="8">
        <v>1.4492979869636047E-2</v>
      </c>
      <c r="FM71" s="8">
        <v>0.13691663477051791</v>
      </c>
      <c r="FN71" s="8">
        <v>-6.184498613844408E-2</v>
      </c>
      <c r="FO71" s="8">
        <v>3.1038277794559394E-2</v>
      </c>
      <c r="FP71" s="8">
        <v>-6.0807881840819977E-2</v>
      </c>
      <c r="FQ71" s="8">
        <v>-0.10568701596268135</v>
      </c>
      <c r="FR71" s="8">
        <v>-0.10066846074214436</v>
      </c>
      <c r="FS71" s="8">
        <v>-2.0890009244904556E-2</v>
      </c>
      <c r="FT71" s="8">
        <v>-7.9419439688864862E-2</v>
      </c>
      <c r="FU71" s="8">
        <v>-5.0177517711108233E-2</v>
      </c>
      <c r="FV71" s="8">
        <v>-4.5154716893229946E-2</v>
      </c>
      <c r="FW71" s="8">
        <v>2.7226529720175668E-2</v>
      </c>
      <c r="FX71" s="8">
        <v>-4.116530247688388E-2</v>
      </c>
      <c r="FY71" s="8">
        <v>5.5096902220589467E-2</v>
      </c>
      <c r="FZ71" s="8">
        <v>-6.9914815503511474E-2</v>
      </c>
      <c r="GA71" s="8">
        <v>-6.9401435355509744E-2</v>
      </c>
      <c r="GB71" s="8">
        <v>1.325446270220465E-2</v>
      </c>
      <c r="GC71" s="8">
        <v>-5.8348546797719947E-2</v>
      </c>
      <c r="GD71" s="8">
        <v>-3.9532981328357364E-3</v>
      </c>
      <c r="GE71" s="8">
        <v>7.7540618156494212E-2</v>
      </c>
      <c r="GF71" s="8">
        <v>6.6408278962261175E-2</v>
      </c>
      <c r="GG71" s="8">
        <v>-6.3094146076394103E-2</v>
      </c>
      <c r="GH71" s="8">
        <v>-3.3909047314220508E-2</v>
      </c>
      <c r="GI71" s="8">
        <v>9.358246702275258E-2</v>
      </c>
      <c r="GJ71" s="8">
        <v>2.2710226427856917E-2</v>
      </c>
      <c r="GK71" s="8">
        <v>1.303791999582965E-2</v>
      </c>
      <c r="GL71" s="8">
        <v>-4.9451043482786339E-2</v>
      </c>
      <c r="GM71" s="8">
        <v>2.6292026276768493E-2</v>
      </c>
      <c r="GN71" s="8">
        <v>6.6681072092890148E-2</v>
      </c>
      <c r="GO71" s="8">
        <v>-3.3108596860046219E-2</v>
      </c>
      <c r="GP71" s="8">
        <v>4.0534029857029363E-2</v>
      </c>
      <c r="GQ71" s="8">
        <v>-0.1306175481995947</v>
      </c>
      <c r="GR71" s="8">
        <v>0.12535243023755843</v>
      </c>
      <c r="GS71" s="8">
        <v>1.3959106702053165E-2</v>
      </c>
      <c r="GT71" s="8">
        <v>-2.9801083276589257E-2</v>
      </c>
      <c r="GU71" s="8">
        <v>3.0893082936399724E-2</v>
      </c>
      <c r="GV71" s="8">
        <v>-7.719093723557377E-2</v>
      </c>
      <c r="GW71" s="8">
        <v>-6.1045197742944812E-2</v>
      </c>
      <c r="GX71" s="8">
        <v>-3.1091138440424326E-2</v>
      </c>
      <c r="GY71" s="8">
        <v>7.6798487057712361E-3</v>
      </c>
      <c r="GZ71" s="8">
        <v>-8.4969990192878986E-2</v>
      </c>
      <c r="HA71" s="8">
        <v>7.3196553616147741E-4</v>
      </c>
      <c r="HB71" s="8">
        <v>9.4585251076834631E-2</v>
      </c>
      <c r="HC71" s="8">
        <v>-7.8794387883659278E-2</v>
      </c>
      <c r="HD71" s="8">
        <v>-3.9359207269456797E-2</v>
      </c>
      <c r="HE71" s="8">
        <v>-8.0771917900920809E-2</v>
      </c>
      <c r="HF71" s="8">
        <v>-0.11601367703910839</v>
      </c>
      <c r="HG71" s="8">
        <v>4.6416209569916267E-2</v>
      </c>
      <c r="HH71" s="8">
        <v>5.5998030042645031E-2</v>
      </c>
      <c r="HI71" s="8">
        <v>-1.1430891250673869E-2</v>
      </c>
      <c r="HJ71" s="8">
        <v>-3.3491429501656816E-2</v>
      </c>
      <c r="HK71" s="8">
        <v>-5.6466063525795196E-3</v>
      </c>
      <c r="HL71" s="8">
        <v>7.595504883838422E-2</v>
      </c>
      <c r="HM71" s="8">
        <v>1.8020541618963021E-2</v>
      </c>
      <c r="HN71" s="8">
        <v>0.13877711472708631</v>
      </c>
      <c r="HO71" s="8">
        <v>0.18927108014034405</v>
      </c>
      <c r="HP71" s="8">
        <v>-1.6634600115447956E-2</v>
      </c>
      <c r="HQ71" s="8">
        <v>-8.4433216147368984E-2</v>
      </c>
      <c r="HR71" s="8">
        <v>5.3249990274885139E-2</v>
      </c>
      <c r="HS71" s="8">
        <v>2.4160175267499029E-2</v>
      </c>
      <c r="HT71" s="8">
        <v>8.4141385377036304E-2</v>
      </c>
      <c r="HU71" s="8">
        <v>7.9263412270735134E-2</v>
      </c>
      <c r="HV71" s="8">
        <v>-4.1739244535495601E-2</v>
      </c>
      <c r="HW71" s="8">
        <v>0.16646643084822799</v>
      </c>
      <c r="HX71" s="8">
        <v>8.547732390128554E-2</v>
      </c>
      <c r="HY71" s="8">
        <v>1.8372945608225277E-2</v>
      </c>
      <c r="HZ71" s="8">
        <v>-6.2860249184456318E-2</v>
      </c>
      <c r="IA71" s="8">
        <v>7.7414210877903178E-2</v>
      </c>
      <c r="IB71" s="8">
        <v>7.5420892014956942E-2</v>
      </c>
      <c r="IC71" s="8">
        <v>6.4965124275636055E-3</v>
      </c>
      <c r="ID71" s="8">
        <v>3.3103205839712602E-2</v>
      </c>
      <c r="IE71" s="8">
        <v>1.3354891865984486E-2</v>
      </c>
      <c r="IF71" s="8">
        <v>1.8473201434669378E-2</v>
      </c>
      <c r="IG71" s="8">
        <v>7.7019253128434217E-2</v>
      </c>
      <c r="IH71" s="8">
        <v>-9.352024088348676E-2</v>
      </c>
      <c r="II71" s="8">
        <v>0.13008525830556761</v>
      </c>
      <c r="IJ71" s="8">
        <v>-4.0698691745238408E-2</v>
      </c>
      <c r="IK71" s="8">
        <v>0.15170274409371415</v>
      </c>
      <c r="IL71" s="8">
        <v>3.4689820574261204E-2</v>
      </c>
      <c r="IM71" s="8">
        <v>-5.3920591000074403E-2</v>
      </c>
      <c r="IN71" s="8">
        <v>2.1361348005004777E-2</v>
      </c>
      <c r="IO71" s="8">
        <v>-4.1063043342336264E-2</v>
      </c>
      <c r="IP71" s="8">
        <v>-6.6592908242415066E-2</v>
      </c>
      <c r="IQ71" s="8">
        <v>-9.2729071770373261E-3</v>
      </c>
      <c r="IR71" s="8">
        <v>-3.9508455639574974E-2</v>
      </c>
      <c r="IS71" s="8">
        <v>-3.2426125658493593E-2</v>
      </c>
      <c r="IT71" s="8">
        <v>3.8825033936115444E-2</v>
      </c>
    </row>
    <row r="72" spans="1:254" s="11" customFormat="1" x14ac:dyDescent="0.2">
      <c r="A72" s="10"/>
      <c r="B72" s="12">
        <v>4.75</v>
      </c>
      <c r="C72" s="2">
        <f t="shared" si="43"/>
        <v>2.6612492208737779E-2</v>
      </c>
      <c r="D72" s="3">
        <f t="shared" si="44"/>
        <v>9.0032936621397663E-2</v>
      </c>
      <c r="E72" s="8">
        <v>-0.14578635474413559</v>
      </c>
      <c r="F72" s="8">
        <v>3.7062030022304876E-2</v>
      </c>
      <c r="G72" s="8">
        <v>0.12469954813082973</v>
      </c>
      <c r="H72" s="8">
        <v>-2.9464031469271207E-2</v>
      </c>
      <c r="I72" s="8">
        <v>-5.3222196622593365E-2</v>
      </c>
      <c r="J72" s="8">
        <v>6.5571366348563281E-2</v>
      </c>
      <c r="K72" s="8">
        <v>1.8696412883463243E-3</v>
      </c>
      <c r="L72" s="8">
        <v>0.11152806702781443</v>
      </c>
      <c r="M72" s="8">
        <v>-1.509791175453723E-2</v>
      </c>
      <c r="N72" s="8">
        <v>-3.6747487957324326E-2</v>
      </c>
      <c r="O72" s="8">
        <v>-6.1024803170616593E-2</v>
      </c>
      <c r="P72" s="8">
        <v>-4.2354104334518972E-2</v>
      </c>
      <c r="Q72" s="8">
        <v>-5.7817214157047242E-2</v>
      </c>
      <c r="R72" s="8">
        <v>8.3135814917976197E-2</v>
      </c>
      <c r="S72" s="8">
        <v>7.2366184055021598E-3</v>
      </c>
      <c r="T72" s="8">
        <v>-1.7731128185817763E-2</v>
      </c>
      <c r="U72" s="8">
        <v>1.6995303817504137E-3</v>
      </c>
      <c r="V72" s="8">
        <v>-9.9943492659260169E-3</v>
      </c>
      <c r="W72" s="8">
        <v>-4.858354015734373E-2</v>
      </c>
      <c r="X72" s="8">
        <v>-2.9770340800169187E-2</v>
      </c>
      <c r="Y72" s="8">
        <v>-0.13762042322653079</v>
      </c>
      <c r="Z72" s="8">
        <v>-0.10986933945212765</v>
      </c>
      <c r="AA72" s="8">
        <v>-6.4968942927491891E-2</v>
      </c>
      <c r="AB72" s="8">
        <v>2.2216337844280815E-2</v>
      </c>
      <c r="AC72" s="8">
        <v>-1.2938093836713516E-3</v>
      </c>
      <c r="AD72" s="8">
        <v>-3.7311556133301782E-3</v>
      </c>
      <c r="AE72" s="8">
        <v>5.3756775193797735E-2</v>
      </c>
      <c r="AF72" s="8">
        <v>-0.12686518407521252</v>
      </c>
      <c r="AG72" s="8">
        <v>-3.6384381210820826E-2</v>
      </c>
      <c r="AH72" s="8">
        <v>-1.1431010635673339E-2</v>
      </c>
      <c r="AI72" s="8">
        <v>-1.3388042803894384E-2</v>
      </c>
      <c r="AJ72" s="8">
        <v>3.8911835849280513E-2</v>
      </c>
      <c r="AK72" s="8">
        <v>-7.9482971346143128E-2</v>
      </c>
      <c r="AL72" s="8">
        <v>-1.2965073435588947E-2</v>
      </c>
      <c r="AM72" s="8">
        <v>0.1506879404297467</v>
      </c>
      <c r="AN72" s="8">
        <v>-1.4661210453022044E-2</v>
      </c>
      <c r="AO72" s="8">
        <v>2.0114082335092182E-2</v>
      </c>
      <c r="AP72" s="8">
        <v>9.2103729625454267E-3</v>
      </c>
      <c r="AQ72" s="8">
        <v>-0.11212727052554924</v>
      </c>
      <c r="AR72" s="8">
        <v>6.1874523242209767E-2</v>
      </c>
      <c r="AS72" s="8">
        <v>-1.481341711762188E-2</v>
      </c>
      <c r="AT72" s="8">
        <v>3.2818362397473072E-2</v>
      </c>
      <c r="AU72" s="8">
        <v>2.5701915241222201E-2</v>
      </c>
      <c r="AV72" s="8">
        <v>0.11864244624592704</v>
      </c>
      <c r="AW72" s="8">
        <v>5.1600024650934384E-2</v>
      </c>
      <c r="AX72" s="8">
        <v>-2.825859091013061E-2</v>
      </c>
      <c r="AY72" s="8">
        <v>0.10887957118232788</v>
      </c>
      <c r="AZ72" s="8">
        <v>-0.12730383801656878</v>
      </c>
      <c r="BA72" s="8">
        <v>-0.10685360162365351</v>
      </c>
      <c r="BB72" s="8">
        <v>-3.7012268824112737E-2</v>
      </c>
      <c r="BC72" s="8">
        <v>-9.7479563851808504E-2</v>
      </c>
      <c r="BD72" s="8">
        <v>1.4669986920892164E-2</v>
      </c>
      <c r="BE72" s="8">
        <v>4.6374788816105739E-2</v>
      </c>
      <c r="BF72" s="8">
        <v>9.1096218844637838E-2</v>
      </c>
      <c r="BG72" s="8">
        <v>9.1144765732743549E-2</v>
      </c>
      <c r="BH72" s="8">
        <v>-6.867706876044033E-2</v>
      </c>
      <c r="BI72" s="8">
        <v>-7.3978632897480912E-3</v>
      </c>
      <c r="BJ72" s="8">
        <v>2.3423520449040586E-2</v>
      </c>
      <c r="BK72" s="8">
        <v>3.8226546377959081E-4</v>
      </c>
      <c r="BL72" s="8">
        <v>7.68515497784579E-2</v>
      </c>
      <c r="BM72" s="8">
        <v>2.1854948784005901E-2</v>
      </c>
      <c r="BN72" s="8">
        <v>5.3701689257396518E-2</v>
      </c>
      <c r="BO72" s="8">
        <v>-5.0314088637309212E-2</v>
      </c>
      <c r="BP72" s="8">
        <v>-1.7292152696896129E-2</v>
      </c>
      <c r="BQ72" s="8">
        <v>7.8306981253477459E-2</v>
      </c>
      <c r="BR72" s="8">
        <v>-2.1872590822379356E-3</v>
      </c>
      <c r="BS72" s="8">
        <v>7.1539005501575992E-2</v>
      </c>
      <c r="BT72" s="8">
        <v>-3.2948813307399738E-2</v>
      </c>
      <c r="BU72" s="8">
        <v>6.5509112038647177E-2</v>
      </c>
      <c r="BV72" s="8">
        <v>-1.6769759905687326E-2</v>
      </c>
      <c r="BW72" s="8">
        <v>-1.5224837509860562E-2</v>
      </c>
      <c r="BX72" s="8">
        <v>-0.13519683518111789</v>
      </c>
      <c r="BY72" s="8">
        <v>3.1413773895334701E-2</v>
      </c>
      <c r="BZ72" s="8">
        <v>2.5483350267286903E-2</v>
      </c>
      <c r="CA72" s="8">
        <v>-5.7130592354452281E-2</v>
      </c>
      <c r="CB72" s="8">
        <v>2.8744258882051288E-2</v>
      </c>
      <c r="CC72" s="8">
        <v>0.12602058071256117</v>
      </c>
      <c r="CD72" s="8">
        <v>8.3219330341216924E-2</v>
      </c>
      <c r="CE72" s="8">
        <v>4.9751956832398275E-2</v>
      </c>
      <c r="CF72" s="8">
        <v>1.7196428267562958E-2</v>
      </c>
      <c r="CG72" s="8">
        <v>1.0590492211156766E-2</v>
      </c>
      <c r="CH72" s="8">
        <v>2.9548256515554761E-2</v>
      </c>
      <c r="CI72" s="8">
        <v>-2.3369208031648436E-2</v>
      </c>
      <c r="CJ72" s="8">
        <v>-7.5650080712302004E-2</v>
      </c>
      <c r="CK72" s="8">
        <v>-2.0756260819161571E-2</v>
      </c>
      <c r="CL72" s="8">
        <v>-1.515876606445743E-2</v>
      </c>
      <c r="CM72" s="8">
        <v>0.10526447901920669</v>
      </c>
      <c r="CN72" s="8">
        <v>7.8398223387666888E-2</v>
      </c>
      <c r="CO72" s="8">
        <v>-1.7937288834145915E-2</v>
      </c>
      <c r="CP72" s="8">
        <v>3.8094564829506156E-2</v>
      </c>
      <c r="CQ72" s="8">
        <v>9.1061303004914468E-2</v>
      </c>
      <c r="CR72" s="8">
        <v>-3.0117698491059497E-2</v>
      </c>
      <c r="CS72" s="8">
        <v>-1.433748664793652E-2</v>
      </c>
      <c r="CT72" s="8">
        <v>-4.314730815643486E-2</v>
      </c>
      <c r="CU72" s="8">
        <v>-3.0382079487733971E-2</v>
      </c>
      <c r="CV72" s="8">
        <v>3.3777140513044479E-2</v>
      </c>
      <c r="CW72" s="8">
        <v>-5.0689072263773727E-3</v>
      </c>
      <c r="CX72" s="8">
        <v>-1.70949006473472E-2</v>
      </c>
      <c r="CY72" s="8">
        <v>0.10579874363485098</v>
      </c>
      <c r="CZ72" s="8">
        <v>7.3797316033451604E-2</v>
      </c>
      <c r="DA72" s="8">
        <v>6.311085326046853E-2</v>
      </c>
      <c r="DB72" s="8">
        <v>-3.4280870265086971E-2</v>
      </c>
      <c r="DC72" s="8">
        <v>-1.5781204552050815E-2</v>
      </c>
      <c r="DD72" s="8">
        <v>-2.3384883432954306E-2</v>
      </c>
      <c r="DE72" s="8">
        <v>-9.9714087393977247E-3</v>
      </c>
      <c r="DF72" s="8">
        <v>8.0499994189861451E-2</v>
      </c>
      <c r="DG72" s="8">
        <v>-0.13244081812281708</v>
      </c>
      <c r="DH72" s="8">
        <v>-4.3817484888083846E-2</v>
      </c>
      <c r="DI72" s="8">
        <v>-4.3181722988503923E-2</v>
      </c>
      <c r="DJ72" s="8">
        <v>1.8972708151562462E-2</v>
      </c>
      <c r="DK72" s="8">
        <v>2.2619668046127833E-2</v>
      </c>
      <c r="DL72" s="8">
        <v>8.5381223769986914E-4</v>
      </c>
      <c r="DM72" s="8">
        <v>-0.1183623048821863</v>
      </c>
      <c r="DN72" s="8">
        <v>9.1690888564984752E-2</v>
      </c>
      <c r="DO72" s="8">
        <v>-6.9541808466670796E-2</v>
      </c>
      <c r="DP72" s="8">
        <v>5.6476254039307339E-2</v>
      </c>
      <c r="DQ72" s="8">
        <v>3.8292932023796522E-2</v>
      </c>
      <c r="DR72" s="8">
        <v>-8.2942262974380565E-2</v>
      </c>
      <c r="DS72" s="8">
        <v>6.7571489401378332E-2</v>
      </c>
      <c r="DT72" s="8">
        <v>-4.5246258112070087E-2</v>
      </c>
      <c r="DU72" s="8">
        <v>-5.1823199959014493E-2</v>
      </c>
      <c r="DV72" s="8">
        <v>-1.8338061971083786E-2</v>
      </c>
      <c r="DW72" s="8">
        <v>-4.9198047356628721E-2</v>
      </c>
      <c r="DX72" s="8">
        <v>1.9035560157815157E-3</v>
      </c>
      <c r="DY72" s="8">
        <v>-6.9028466355338214E-2</v>
      </c>
      <c r="DZ72" s="8">
        <v>-8.0145231630994851E-2</v>
      </c>
      <c r="EA72" s="8">
        <v>2.7183114771864081E-2</v>
      </c>
      <c r="EB72" s="8">
        <v>3.0793153046808158E-2</v>
      </c>
      <c r="EC72" s="8">
        <v>8.3411893161798895E-2</v>
      </c>
      <c r="ED72" s="8">
        <v>4.1275317959510005E-2</v>
      </c>
      <c r="EE72" s="8">
        <v>4.99584854926588E-3</v>
      </c>
      <c r="EF72" s="8">
        <v>1.2665547747960443E-2</v>
      </c>
      <c r="EG72" s="8">
        <v>-6.388670764373694E-2</v>
      </c>
      <c r="EH72" s="8">
        <v>-0.10953700475870543</v>
      </c>
      <c r="EI72" s="8">
        <v>-0.15647285178026943</v>
      </c>
      <c r="EJ72" s="8">
        <v>-6.5005626262248928E-4</v>
      </c>
      <c r="EK72" s="8">
        <v>-3.7305338053151893E-2</v>
      </c>
      <c r="EL72" s="8">
        <v>2.5683901132260795E-2</v>
      </c>
      <c r="EM72" s="8">
        <v>-6.758530583647121E-2</v>
      </c>
      <c r="EN72" s="8">
        <v>-6.9801450616264193E-2</v>
      </c>
      <c r="EO72" s="8">
        <v>0.10275489851030467</v>
      </c>
      <c r="EP72" s="8">
        <v>1.0667477611502885E-3</v>
      </c>
      <c r="EQ72" s="8">
        <v>0.11030789104041575</v>
      </c>
      <c r="ER72" s="8">
        <v>-4.6218889469781921E-2</v>
      </c>
      <c r="ES72" s="8">
        <v>6.3681573324116031E-2</v>
      </c>
      <c r="ET72" s="8">
        <v>4.142302432233258E-2</v>
      </c>
      <c r="EU72" s="8">
        <v>-1.2053624634023569E-2</v>
      </c>
      <c r="EV72" s="8">
        <v>-2.3390972880478172E-2</v>
      </c>
      <c r="EW72" s="8">
        <v>8.085020393532405E-2</v>
      </c>
      <c r="EX72" s="8">
        <v>6.5361813454872797E-3</v>
      </c>
      <c r="EY72" s="8">
        <v>3.5431147192083873E-2</v>
      </c>
      <c r="EZ72" s="8">
        <v>2.6852817585080457E-3</v>
      </c>
      <c r="FA72" s="8">
        <v>-0.12083634766137594</v>
      </c>
      <c r="FB72" s="8">
        <v>1.6772937270332244E-2</v>
      </c>
      <c r="FC72" s="8">
        <v>-9.10593443033198E-2</v>
      </c>
      <c r="FD72" s="8">
        <v>-2.1143509865095167E-2</v>
      </c>
      <c r="FE72" s="8">
        <v>-6.1650291685396236E-2</v>
      </c>
      <c r="FF72" s="8">
        <v>2.318769308728405E-2</v>
      </c>
      <c r="FG72" s="8">
        <v>1.7032009588470315E-2</v>
      </c>
      <c r="FH72" s="8">
        <v>7.0022852364150068E-2</v>
      </c>
      <c r="FI72" s="8">
        <v>-1.2433060622589975E-2</v>
      </c>
      <c r="FJ72" s="8">
        <v>-1.0158157095391862E-2</v>
      </c>
      <c r="FK72" s="8">
        <v>1.9439636358170809E-2</v>
      </c>
      <c r="FL72" s="8">
        <v>1.5665208657647395E-2</v>
      </c>
      <c r="FM72" s="8">
        <v>0.11446829789996002</v>
      </c>
      <c r="FN72" s="8">
        <v>-8.2677537702782411E-2</v>
      </c>
      <c r="FO72" s="8">
        <v>6.54495557122593E-2</v>
      </c>
      <c r="FP72" s="8">
        <v>-4.0684614618037407E-2</v>
      </c>
      <c r="FQ72" s="8">
        <v>-0.10940801359145977</v>
      </c>
      <c r="FR72" s="8">
        <v>-8.7733669562900296E-2</v>
      </c>
      <c r="FS72" s="8">
        <v>-1.6657839584417411E-2</v>
      </c>
      <c r="FT72" s="8">
        <v>-7.6978412663706031E-2</v>
      </c>
      <c r="FU72" s="8">
        <v>-5.6172666042414082E-2</v>
      </c>
      <c r="FV72" s="8">
        <v>-3.2468644644374933E-2</v>
      </c>
      <c r="FW72" s="8">
        <v>5.1960446285578554E-2</v>
      </c>
      <c r="FX72" s="8">
        <v>-5.1475388686389151E-2</v>
      </c>
      <c r="FY72" s="8">
        <v>4.337751075149307E-2</v>
      </c>
      <c r="FZ72" s="8">
        <v>-8.5371558264077468E-2</v>
      </c>
      <c r="GA72" s="8">
        <v>-8.499121561142281E-2</v>
      </c>
      <c r="GB72" s="8">
        <v>3.7499449490582537E-3</v>
      </c>
      <c r="GC72" s="8">
        <v>-5.6377963319769991E-2</v>
      </c>
      <c r="GD72" s="8">
        <v>-4.4826322278467001E-3</v>
      </c>
      <c r="GE72" s="8">
        <v>7.808914838783268E-2</v>
      </c>
      <c r="GF72" s="8">
        <v>8.0096775545777266E-2</v>
      </c>
      <c r="GG72" s="8">
        <v>-7.3755107528794994E-2</v>
      </c>
      <c r="GH72" s="8">
        <v>-4.8811723589533895E-2</v>
      </c>
      <c r="GI72" s="8">
        <v>9.5396433147220683E-2</v>
      </c>
      <c r="GJ72" s="8">
        <v>9.7941734314901385E-3</v>
      </c>
      <c r="GK72" s="8">
        <v>1.4226410404938439E-2</v>
      </c>
      <c r="GL72" s="8">
        <v>-6.4712603859882645E-2</v>
      </c>
      <c r="GM72" s="8">
        <v>-1.0495476157415501E-2</v>
      </c>
      <c r="GN72" s="8">
        <v>6.896491097554866E-2</v>
      </c>
      <c r="GO72" s="8">
        <v>-3.2037277140904541E-2</v>
      </c>
      <c r="GP72" s="8">
        <v>1.9455054012774142E-2</v>
      </c>
      <c r="GQ72" s="8">
        <v>-0.10745886924821535</v>
      </c>
      <c r="GR72" s="8">
        <v>0.11316436887773362</v>
      </c>
      <c r="GS72" s="8">
        <v>1.769100784465194E-2</v>
      </c>
      <c r="GT72" s="8">
        <v>-3.3642185260320173E-2</v>
      </c>
      <c r="GU72" s="8">
        <v>2.5319180037170902E-2</v>
      </c>
      <c r="GV72" s="8">
        <v>-6.1412586938819208E-2</v>
      </c>
      <c r="GW72" s="8">
        <v>-2.9783350887477966E-2</v>
      </c>
      <c r="GX72" s="8">
        <v>-4.9225297983912703E-2</v>
      </c>
      <c r="GY72" s="8">
        <v>-1.2271593934884112E-2</v>
      </c>
      <c r="GZ72" s="8">
        <v>-0.11443891513651624</v>
      </c>
      <c r="HA72" s="8">
        <v>-1.0091372572461066E-3</v>
      </c>
      <c r="HB72" s="8">
        <v>8.1967576544349496E-2</v>
      </c>
      <c r="HC72" s="8">
        <v>-9.20057679343812E-2</v>
      </c>
      <c r="HD72" s="8">
        <v>-3.6251964043589879E-2</v>
      </c>
      <c r="HE72" s="8">
        <v>-7.9922399604287264E-2</v>
      </c>
      <c r="HF72" s="8">
        <v>-0.10994846936843539</v>
      </c>
      <c r="HG72" s="8">
        <v>5.3349515979556644E-2</v>
      </c>
      <c r="HH72" s="8">
        <v>4.8613803224944768E-2</v>
      </c>
      <c r="HI72" s="8">
        <v>-2.6317022223661751E-2</v>
      </c>
      <c r="HJ72" s="8">
        <v>-4.254735457686909E-2</v>
      </c>
      <c r="HK72" s="8">
        <v>1.5041597551036512E-3</v>
      </c>
      <c r="HL72" s="8">
        <v>9.8510285157752203E-2</v>
      </c>
      <c r="HM72" s="8">
        <v>-4.26324739235448E-3</v>
      </c>
      <c r="HN72" s="8">
        <v>0.13435641741750712</v>
      </c>
      <c r="HO72" s="8">
        <v>0.20411995493365948</v>
      </c>
      <c r="HP72" s="8">
        <v>8.497825714868068E-3</v>
      </c>
      <c r="HQ72" s="8">
        <v>-7.0004193870576714E-2</v>
      </c>
      <c r="HR72" s="8">
        <v>6.0124561248831282E-2</v>
      </c>
      <c r="HS72" s="8">
        <v>4.473257671041303E-2</v>
      </c>
      <c r="HT72" s="8">
        <v>9.3263357842625294E-2</v>
      </c>
      <c r="HU72" s="8">
        <v>7.5213026791580179E-2</v>
      </c>
      <c r="HV72" s="8">
        <v>-6.9918257514918619E-2</v>
      </c>
      <c r="HW72" s="8">
        <v>0.16208939650521287</v>
      </c>
      <c r="HX72" s="8">
        <v>9.0032936621397663E-2</v>
      </c>
      <c r="HY72" s="8">
        <v>3.9276542318292446E-2</v>
      </c>
      <c r="HZ72" s="8">
        <v>-4.0959278765463458E-2</v>
      </c>
      <c r="IA72" s="8">
        <v>0.10332103857025823</v>
      </c>
      <c r="IB72" s="8">
        <v>5.6437297043996887E-2</v>
      </c>
      <c r="IC72" s="8">
        <v>4.8635587375089051E-3</v>
      </c>
      <c r="ID72" s="8">
        <v>2.4933407403415098E-2</v>
      </c>
      <c r="IE72" s="8">
        <v>5.1705243805778345E-2</v>
      </c>
      <c r="IF72" s="8">
        <v>3.360143772507776E-2</v>
      </c>
      <c r="IG72" s="8">
        <v>7.7842529512852088E-2</v>
      </c>
      <c r="IH72" s="8">
        <v>-0.1220895848925678</v>
      </c>
      <c r="II72" s="8">
        <v>0.12491130339577672</v>
      </c>
      <c r="IJ72" s="8">
        <v>-2.9818510020019534E-2</v>
      </c>
      <c r="IK72" s="8">
        <v>0.13051028706042656</v>
      </c>
      <c r="IL72" s="8">
        <v>4.2437183838488129E-2</v>
      </c>
      <c r="IM72" s="8">
        <v>-7.3884095870138278E-2</v>
      </c>
      <c r="IN72" s="8">
        <v>-9.7370217364642631E-3</v>
      </c>
      <c r="IO72" s="8">
        <v>-6.6342933364954143E-2</v>
      </c>
      <c r="IP72" s="8">
        <v>-7.4929242852437183E-2</v>
      </c>
      <c r="IQ72" s="8">
        <v>-2.3980906403777036E-2</v>
      </c>
      <c r="IR72" s="8">
        <v>-4.0073157859873948E-2</v>
      </c>
      <c r="IS72" s="8">
        <v>-2.5921328642459246E-2</v>
      </c>
      <c r="IT72" s="8">
        <v>4.0614555958616461E-2</v>
      </c>
    </row>
    <row r="73" spans="1:254" s="11" customFormat="1" x14ac:dyDescent="0.2">
      <c r="A73" s="10"/>
      <c r="B73" s="12">
        <v>5</v>
      </c>
      <c r="C73" s="2">
        <f t="shared" si="43"/>
        <v>2.5824473966343447E-2</v>
      </c>
      <c r="D73" s="3">
        <f t="shared" si="44"/>
        <v>8.6827820897561303E-2</v>
      </c>
      <c r="E73" s="8">
        <v>-0.12930981633169616</v>
      </c>
      <c r="F73" s="8">
        <v>3.0916791696989521E-2</v>
      </c>
      <c r="G73" s="8">
        <v>8.6827820897561303E-2</v>
      </c>
      <c r="H73" s="8">
        <v>-8.2467751012299528E-4</v>
      </c>
      <c r="I73" s="8">
        <v>-5.4571254942411412E-2</v>
      </c>
      <c r="J73" s="8">
        <v>5.2002918291851497E-2</v>
      </c>
      <c r="K73" s="8">
        <v>-7.9983570400679604E-4</v>
      </c>
      <c r="L73" s="8">
        <v>0.11011419692414759</v>
      </c>
      <c r="M73" s="8">
        <v>-4.7521946847731145E-4</v>
      </c>
      <c r="N73" s="8">
        <v>-3.0476861841879699E-2</v>
      </c>
      <c r="O73" s="8">
        <v>-5.0121170907461182E-2</v>
      </c>
      <c r="P73" s="8">
        <v>-3.5582375916627218E-2</v>
      </c>
      <c r="Q73" s="8">
        <v>-6.9179814970451448E-2</v>
      </c>
      <c r="R73" s="8">
        <v>6.2787431387018894E-2</v>
      </c>
      <c r="S73" s="8">
        <v>-6.1315790113810331E-3</v>
      </c>
      <c r="T73" s="8">
        <v>-1.8303131060975059E-2</v>
      </c>
      <c r="U73" s="8">
        <v>2.6700077420399038E-3</v>
      </c>
      <c r="V73" s="8">
        <v>-2.7476459302691741E-2</v>
      </c>
      <c r="W73" s="8">
        <v>-6.1687158756716431E-2</v>
      </c>
      <c r="X73" s="8">
        <v>-4.5192800465687882E-2</v>
      </c>
      <c r="Y73" s="8">
        <v>-0.12995646046555556</v>
      </c>
      <c r="Z73" s="8">
        <v>-9.0496236399090713E-2</v>
      </c>
      <c r="AA73" s="8">
        <v>-7.0622582235335435E-2</v>
      </c>
      <c r="AB73" s="8">
        <v>-5.5952830578668289E-3</v>
      </c>
      <c r="AC73" s="8">
        <v>-3.3352618483041274E-3</v>
      </c>
      <c r="AD73" s="8">
        <v>1.092108638987685E-2</v>
      </c>
      <c r="AE73" s="8">
        <v>2.6143135615214558E-2</v>
      </c>
      <c r="AF73" s="8">
        <v>-0.13403303674827449</v>
      </c>
      <c r="AG73" s="8">
        <v>-2.7611021532653629E-2</v>
      </c>
      <c r="AH73" s="8">
        <v>-3.2061494620838432E-2</v>
      </c>
      <c r="AI73" s="8">
        <v>1.6468595505991224E-3</v>
      </c>
      <c r="AJ73" s="8">
        <v>4.7357282613326779E-2</v>
      </c>
      <c r="AK73" s="8">
        <v>-0.10974972336714395</v>
      </c>
      <c r="AL73" s="8">
        <v>-3.051741701582078E-2</v>
      </c>
      <c r="AM73" s="8">
        <v>0.16405787487481116</v>
      </c>
      <c r="AN73" s="8">
        <v>-8.805405204927591E-3</v>
      </c>
      <c r="AO73" s="8">
        <v>4.5926658414901234E-3</v>
      </c>
      <c r="AP73" s="8">
        <v>-4.945420791703542E-3</v>
      </c>
      <c r="AQ73" s="8">
        <v>-9.2483264109269936E-2</v>
      </c>
      <c r="AR73" s="8">
        <v>8.3244839762596307E-2</v>
      </c>
      <c r="AS73" s="8">
        <v>-7.6980179140458127E-3</v>
      </c>
      <c r="AT73" s="8">
        <v>4.9006711213826937E-2</v>
      </c>
      <c r="AU73" s="8">
        <v>3.4629390461739573E-2</v>
      </c>
      <c r="AV73" s="8">
        <v>0.11756272901965528</v>
      </c>
      <c r="AW73" s="8">
        <v>2.9556477038680307E-2</v>
      </c>
      <c r="AX73" s="8">
        <v>-2.4935253894823872E-2</v>
      </c>
      <c r="AY73" s="8">
        <v>8.200943151518536E-2</v>
      </c>
      <c r="AZ73" s="8">
        <v>-0.15130141015374421</v>
      </c>
      <c r="BA73" s="8">
        <v>-0.12459378140543831</v>
      </c>
      <c r="BB73" s="8">
        <v>-2.8636399116451855E-2</v>
      </c>
      <c r="BC73" s="8">
        <v>-9.0584147423936112E-2</v>
      </c>
      <c r="BD73" s="8">
        <v>-1.2399018929583783E-2</v>
      </c>
      <c r="BE73" s="8">
        <v>3.3752737641288721E-2</v>
      </c>
      <c r="BF73" s="8">
        <v>9.6161304073473342E-2</v>
      </c>
      <c r="BG73" s="8">
        <v>6.6682616417637564E-2</v>
      </c>
      <c r="BH73" s="8">
        <v>-7.9000741770397287E-2</v>
      </c>
      <c r="BI73" s="8">
        <v>-1.8788939419225631E-2</v>
      </c>
      <c r="BJ73" s="8">
        <v>1.9838724540773206E-2</v>
      </c>
      <c r="BK73" s="8">
        <v>-7.2753545582290857E-4</v>
      </c>
      <c r="BL73" s="8">
        <v>5.0165127356833455E-2</v>
      </c>
      <c r="BM73" s="8">
        <v>4.1292941779574988E-2</v>
      </c>
      <c r="BN73" s="8">
        <v>2.7740763460259582E-2</v>
      </c>
      <c r="BO73" s="8">
        <v>-5.1470158042457442E-2</v>
      </c>
      <c r="BP73" s="8">
        <v>-3.2386036494815307E-2</v>
      </c>
      <c r="BQ73" s="8">
        <v>9.7332123788617414E-2</v>
      </c>
      <c r="BR73" s="8">
        <v>1.8623303438443845E-2</v>
      </c>
      <c r="BS73" s="8">
        <v>8.9372205645615238E-2</v>
      </c>
      <c r="BT73" s="8">
        <v>-2.2903616317015291E-2</v>
      </c>
      <c r="BU73" s="8">
        <v>9.0020511872021147E-2</v>
      </c>
      <c r="BV73" s="8">
        <v>-2.7496471229213004E-2</v>
      </c>
      <c r="BW73" s="8">
        <v>-8.7415842394264198E-3</v>
      </c>
      <c r="BX73" s="8">
        <v>-0.1306204444822478</v>
      </c>
      <c r="BY73" s="8">
        <v>4.9351107029938057E-2</v>
      </c>
      <c r="BZ73" s="8">
        <v>-3.3553202934882842E-3</v>
      </c>
      <c r="CA73" s="8">
        <v>-9.8483405888328324E-2</v>
      </c>
      <c r="CB73" s="8">
        <v>2.3978898901835521E-2</v>
      </c>
      <c r="CC73" s="8">
        <v>0.11836651005065602</v>
      </c>
      <c r="CD73" s="8">
        <v>9.999749461388785E-2</v>
      </c>
      <c r="CE73" s="8">
        <v>3.7705670904512545E-2</v>
      </c>
      <c r="CF73" s="8">
        <v>2.3746450692660875E-2</v>
      </c>
      <c r="CG73" s="8">
        <v>3.2670955032376547E-2</v>
      </c>
      <c r="CH73" s="8">
        <v>2.4305043448575037E-2</v>
      </c>
      <c r="CI73" s="8">
        <v>-1.9852781330797847E-2</v>
      </c>
      <c r="CJ73" s="8">
        <v>-8.748940483532508E-2</v>
      </c>
      <c r="CK73" s="8">
        <v>-1.8582242535223864E-2</v>
      </c>
      <c r="CL73" s="8">
        <v>3.7134845242935977E-3</v>
      </c>
      <c r="CM73" s="8">
        <v>0.10081695785374983</v>
      </c>
      <c r="CN73" s="8">
        <v>6.8969410522396302E-2</v>
      </c>
      <c r="CO73" s="8">
        <v>1.5074315815859385E-2</v>
      </c>
      <c r="CP73" s="8">
        <v>6.013842545484005E-2</v>
      </c>
      <c r="CQ73" s="8">
        <v>9.3405001652479946E-2</v>
      </c>
      <c r="CR73" s="8">
        <v>1.0764659633612228E-3</v>
      </c>
      <c r="CS73" s="8">
        <v>-3.6772814458554237E-2</v>
      </c>
      <c r="CT73" s="8">
        <v>-4.9900281559763005E-2</v>
      </c>
      <c r="CU73" s="8">
        <v>-2.615284759708561E-2</v>
      </c>
      <c r="CV73" s="8">
        <v>1.484995188794469E-3</v>
      </c>
      <c r="CW73" s="8">
        <v>-7.1321462467620611E-3</v>
      </c>
      <c r="CX73" s="8">
        <v>-3.8702632748681021E-2</v>
      </c>
      <c r="CY73" s="8">
        <v>9.497755292501453E-2</v>
      </c>
      <c r="CZ73" s="8">
        <v>5.4953778116989649E-2</v>
      </c>
      <c r="DA73" s="8">
        <v>3.8128387536344038E-2</v>
      </c>
      <c r="DB73" s="8">
        <v>-5.5095202945136146E-2</v>
      </c>
      <c r="DC73" s="8">
        <v>1.974454694822636E-2</v>
      </c>
      <c r="DD73" s="8">
        <v>-2.6489002088220914E-2</v>
      </c>
      <c r="DE73" s="8">
        <v>-3.6142341611820061E-3</v>
      </c>
      <c r="DF73" s="8">
        <v>5.8840452946733568E-2</v>
      </c>
      <c r="DG73" s="8">
        <v>-0.12900200340252271</v>
      </c>
      <c r="DH73" s="8">
        <v>-6.5534537833537854E-2</v>
      </c>
      <c r="DI73" s="8">
        <v>-3.6894173015718124E-2</v>
      </c>
      <c r="DJ73" s="8">
        <v>9.8007419270386142E-3</v>
      </c>
      <c r="DK73" s="8">
        <v>3.7712118042308007E-2</v>
      </c>
      <c r="DL73" s="8">
        <v>9.4480429520902853E-3</v>
      </c>
      <c r="DM73" s="8">
        <v>-0.12833330712712399</v>
      </c>
      <c r="DN73" s="8">
        <v>4.9190793413512485E-2</v>
      </c>
      <c r="DO73" s="8">
        <v>-5.4570595253636806E-2</v>
      </c>
      <c r="DP73" s="8">
        <v>3.6460652879117678E-2</v>
      </c>
      <c r="DQ73" s="8">
        <v>3.3975366800501949E-2</v>
      </c>
      <c r="DR73" s="8">
        <v>-9.1383170200247194E-2</v>
      </c>
      <c r="DS73" s="8">
        <v>7.7753486732714872E-2</v>
      </c>
      <c r="DT73" s="8">
        <v>-3.1171623615329241E-2</v>
      </c>
      <c r="DU73" s="8">
        <v>-3.2704674102759651E-2</v>
      </c>
      <c r="DV73" s="8">
        <v>3.3010252834402176E-2</v>
      </c>
      <c r="DW73" s="8">
        <v>-4.6017694527534792E-3</v>
      </c>
      <c r="DX73" s="8">
        <v>1.3006868664681842E-2</v>
      </c>
      <c r="DY73" s="8">
        <v>-6.2717758553500619E-2</v>
      </c>
      <c r="DZ73" s="8">
        <v>-6.8761419513447719E-2</v>
      </c>
      <c r="EA73" s="8">
        <v>4.1768622215962947E-2</v>
      </c>
      <c r="EB73" s="8">
        <v>3.7987464423568651E-2</v>
      </c>
      <c r="EC73" s="8">
        <v>8.8790036684177759E-2</v>
      </c>
      <c r="ED73" s="8">
        <v>5.9813541295429151E-2</v>
      </c>
      <c r="EE73" s="8">
        <v>-7.7939105796098196E-3</v>
      </c>
      <c r="EF73" s="8">
        <v>-3.429670591009043E-3</v>
      </c>
      <c r="EG73" s="8">
        <v>-6.0974821614322272E-2</v>
      </c>
      <c r="EH73" s="8">
        <v>-9.2616621390023357E-2</v>
      </c>
      <c r="EI73" s="8">
        <v>-0.14789964256460472</v>
      </c>
      <c r="EJ73" s="8">
        <v>-2.5268536786707346E-2</v>
      </c>
      <c r="EK73" s="8">
        <v>-4.3940207110155172E-2</v>
      </c>
      <c r="EL73" s="8">
        <v>1.6360544405207816E-2</v>
      </c>
      <c r="EM73" s="8">
        <v>-7.5080959426748528E-2</v>
      </c>
      <c r="EN73" s="8">
        <v>-7.7433276626260567E-2</v>
      </c>
      <c r="EO73" s="8">
        <v>0.10669987894127786</v>
      </c>
      <c r="EP73" s="8">
        <v>1.0450793563141603E-2</v>
      </c>
      <c r="EQ73" s="8">
        <v>9.706879043101263E-2</v>
      </c>
      <c r="ER73" s="8">
        <v>-5.0823376284184013E-2</v>
      </c>
      <c r="ES73" s="8">
        <v>6.5151611090390388E-2</v>
      </c>
      <c r="ET73" s="8">
        <v>3.5764612352815833E-2</v>
      </c>
      <c r="EU73" s="8">
        <v>8.0732313878411066E-3</v>
      </c>
      <c r="EV73" s="8">
        <v>-1.3547421283543359E-2</v>
      </c>
      <c r="EW73" s="8">
        <v>6.4840099422766029E-2</v>
      </c>
      <c r="EX73" s="8">
        <v>4.112907045428868E-2</v>
      </c>
      <c r="EY73" s="8">
        <v>5.6722693218246911E-2</v>
      </c>
      <c r="EZ73" s="8">
        <v>-1.7109345935925613E-2</v>
      </c>
      <c r="FA73" s="8">
        <v>-9.430587331540613E-2</v>
      </c>
      <c r="FB73" s="8">
        <v>3.3808715536329387E-2</v>
      </c>
      <c r="FC73" s="8">
        <v>-7.7182558246379457E-2</v>
      </c>
      <c r="FD73" s="8">
        <v>-6.9936248057103911E-3</v>
      </c>
      <c r="FE73" s="8">
        <v>-3.6435590115457522E-2</v>
      </c>
      <c r="FF73" s="8">
        <v>1.7974395035159851E-2</v>
      </c>
      <c r="FG73" s="8">
        <v>1.3732236942309101E-2</v>
      </c>
      <c r="FH73" s="8">
        <v>5.1022276248653908E-2</v>
      </c>
      <c r="FI73" s="8">
        <v>-1.8585755817131483E-2</v>
      </c>
      <c r="FJ73" s="8">
        <v>6.6392329183923016E-3</v>
      </c>
      <c r="FK73" s="8">
        <v>1.8692974570135357E-2</v>
      </c>
      <c r="FL73" s="8">
        <v>-2.1896935905629522E-3</v>
      </c>
      <c r="FM73" s="8">
        <v>0.12172052022123256</v>
      </c>
      <c r="FN73" s="8">
        <v>-9.5154862624082764E-2</v>
      </c>
      <c r="FO73" s="8">
        <v>7.7478033673730629E-2</v>
      </c>
      <c r="FP73" s="8">
        <v>-3.3424522915446925E-2</v>
      </c>
      <c r="FQ73" s="8">
        <v>-9.8996653723845418E-2</v>
      </c>
      <c r="FR73" s="8">
        <v>-5.9919853007617319E-2</v>
      </c>
      <c r="FS73" s="8">
        <v>-3.093862756409102E-2</v>
      </c>
      <c r="FT73" s="8">
        <v>-6.2646610433173239E-2</v>
      </c>
      <c r="FU73" s="8">
        <v>-4.7901208070764811E-2</v>
      </c>
      <c r="FV73" s="8">
        <v>-3.0898794441792055E-2</v>
      </c>
      <c r="FW73" s="8">
        <v>3.490775587209663E-2</v>
      </c>
      <c r="FX73" s="8">
        <v>-8.1647904723214398E-2</v>
      </c>
      <c r="FY73" s="8">
        <v>5.3800851127763144E-2</v>
      </c>
      <c r="FZ73" s="8">
        <v>-8.844212763072834E-2</v>
      </c>
      <c r="GA73" s="8">
        <v>-8.2010684168872638E-2</v>
      </c>
      <c r="GB73" s="8">
        <v>2.7233419773557477E-2</v>
      </c>
      <c r="GC73" s="8">
        <v>-6.1348548279320236E-2</v>
      </c>
      <c r="GD73" s="8">
        <v>-1.9679045283571367E-2</v>
      </c>
      <c r="GE73" s="8">
        <v>7.3836123121152591E-2</v>
      </c>
      <c r="GF73" s="8">
        <v>7.2850318030503458E-2</v>
      </c>
      <c r="GG73" s="8">
        <v>-6.0186527725544253E-2</v>
      </c>
      <c r="GH73" s="8">
        <v>-4.5567627595201221E-2</v>
      </c>
      <c r="GI73" s="8">
        <v>5.0926964998032509E-2</v>
      </c>
      <c r="GJ73" s="8">
        <v>-1.2816130321685298E-2</v>
      </c>
      <c r="GK73" s="8">
        <v>3.9658627541366787E-2</v>
      </c>
      <c r="GL73" s="8">
        <v>-6.8364102045935793E-2</v>
      </c>
      <c r="GM73" s="8">
        <v>9.4417180825631941E-3</v>
      </c>
      <c r="GN73" s="8">
        <v>4.4178416280436089E-2</v>
      </c>
      <c r="GO73" s="8">
        <v>-2.3292316914957006E-2</v>
      </c>
      <c r="GP73" s="8">
        <v>5.6749530553279137E-2</v>
      </c>
      <c r="GQ73" s="8">
        <v>-7.7488196036622492E-2</v>
      </c>
      <c r="GR73" s="8">
        <v>0.10453637199622842</v>
      </c>
      <c r="GS73" s="8">
        <v>3.0476629552245171E-2</v>
      </c>
      <c r="GT73" s="8">
        <v>-5.2332641896287002E-2</v>
      </c>
      <c r="GU73" s="8">
        <v>3.8908279317626776E-2</v>
      </c>
      <c r="GV73" s="8">
        <v>-5.1700080157607131E-2</v>
      </c>
      <c r="GW73" s="8">
        <v>-2.3140665383454218E-2</v>
      </c>
      <c r="GX73" s="8">
        <v>-2.4430914444294238E-2</v>
      </c>
      <c r="GY73" s="8">
        <v>-1.0401273889533408E-2</v>
      </c>
      <c r="GZ73" s="8">
        <v>-0.11177461551064258</v>
      </c>
      <c r="HA73" s="8">
        <v>-8.3479161947567215E-3</v>
      </c>
      <c r="HB73" s="8">
        <v>6.8687926537028932E-2</v>
      </c>
      <c r="HC73" s="8">
        <v>-7.2774428060351198E-2</v>
      </c>
      <c r="HD73" s="8">
        <v>-4.4324887363965532E-2</v>
      </c>
      <c r="HE73" s="8">
        <v>-8.8402892804001737E-2</v>
      </c>
      <c r="HF73" s="8">
        <v>-5.7222544930321279E-2</v>
      </c>
      <c r="HG73" s="8">
        <v>5.9145587192196897E-2</v>
      </c>
      <c r="HH73" s="8">
        <v>6.947085300578365E-2</v>
      </c>
      <c r="HI73" s="8">
        <v>-3.3653416638462275E-2</v>
      </c>
      <c r="HJ73" s="8">
        <v>-1.5363403538612735E-2</v>
      </c>
      <c r="HK73" s="8">
        <v>-1.2574238041511338E-2</v>
      </c>
      <c r="HL73" s="8">
        <v>0.10546222621663895</v>
      </c>
      <c r="HM73" s="8">
        <v>-1.8988702529800144E-2</v>
      </c>
      <c r="HN73" s="8">
        <v>0.1646423575047091</v>
      </c>
      <c r="HO73" s="8">
        <v>0.17406563665927194</v>
      </c>
      <c r="HP73" s="8">
        <v>7.8218418993191152E-3</v>
      </c>
      <c r="HQ73" s="8">
        <v>-8.2539788847435624E-2</v>
      </c>
      <c r="HR73" s="8">
        <v>7.5951372942930473E-2</v>
      </c>
      <c r="HS73" s="8">
        <v>5.5852365470750009E-2</v>
      </c>
      <c r="HT73" s="8">
        <v>0.10475744492255334</v>
      </c>
      <c r="HU73" s="8">
        <v>7.1523209195079984E-2</v>
      </c>
      <c r="HV73" s="8">
        <v>-6.0322614306155847E-2</v>
      </c>
      <c r="HW73" s="8">
        <v>0.14838792956905716</v>
      </c>
      <c r="HX73" s="8">
        <v>8.5745644359920964E-2</v>
      </c>
      <c r="HY73" s="8">
        <v>2.5818197377611152E-2</v>
      </c>
      <c r="HZ73" s="8">
        <v>-5.0993003195979991E-2</v>
      </c>
      <c r="IA73" s="8">
        <v>0.11489974513221096</v>
      </c>
      <c r="IB73" s="8">
        <v>1.5540284867040982E-2</v>
      </c>
      <c r="IC73" s="8">
        <v>-4.2204507111761408E-2</v>
      </c>
      <c r="ID73" s="8">
        <v>2.0146892440438435E-2</v>
      </c>
      <c r="IE73" s="8">
        <v>3.7767673040334349E-2</v>
      </c>
      <c r="IF73" s="8">
        <v>3.9362848731569866E-2</v>
      </c>
      <c r="IG73" s="8">
        <v>6.5572576042943975E-2</v>
      </c>
      <c r="IH73" s="8">
        <v>-0.12755301978840095</v>
      </c>
      <c r="II73" s="8">
        <v>0.12768058968701645</v>
      </c>
      <c r="IJ73" s="8">
        <v>-4.8851191345333916E-2</v>
      </c>
      <c r="IK73" s="8">
        <v>0.12200550145268527</v>
      </c>
      <c r="IL73" s="8">
        <v>1.1084821754237251E-2</v>
      </c>
      <c r="IM73" s="8">
        <v>-6.7515720634931858E-2</v>
      </c>
      <c r="IN73" s="8">
        <v>-1.0030967166531124E-2</v>
      </c>
      <c r="IO73" s="8">
        <v>-7.9614640263135306E-2</v>
      </c>
      <c r="IP73" s="8">
        <v>-5.7174940102238891E-2</v>
      </c>
      <c r="IQ73" s="8">
        <v>-5.0835902770499986E-2</v>
      </c>
      <c r="IR73" s="8">
        <v>-4.1327658636518189E-2</v>
      </c>
      <c r="IS73" s="8">
        <v>-3.5428760004473037E-2</v>
      </c>
      <c r="IT73" s="8">
        <v>2.6696343084568391E-2</v>
      </c>
    </row>
    <row r="74" spans="1:254" s="11" customFormat="1" x14ac:dyDescent="0.2">
      <c r="A74" s="10"/>
      <c r="B74" s="12">
        <v>5.25</v>
      </c>
      <c r="C74" s="2">
        <f t="shared" si="43"/>
        <v>2.5153322853956578E-2</v>
      </c>
      <c r="D74" s="3">
        <f t="shared" si="44"/>
        <v>7.9109759370088573E-2</v>
      </c>
      <c r="E74" s="8">
        <v>-0.12001420282453626</v>
      </c>
      <c r="F74" s="8">
        <v>4.8446943697512346E-2</v>
      </c>
      <c r="G74" s="8">
        <v>7.0564352237163064E-2</v>
      </c>
      <c r="H74" s="8">
        <v>4.1400174170785897E-3</v>
      </c>
      <c r="I74" s="8">
        <v>-3.8112553776642383E-2</v>
      </c>
      <c r="J74" s="8">
        <v>4.1513048778411998E-2</v>
      </c>
      <c r="K74" s="8">
        <v>2.0181507400812704E-4</v>
      </c>
      <c r="L74" s="8">
        <v>0.13065641790535165</v>
      </c>
      <c r="M74" s="8">
        <v>-2.8002720217966043E-2</v>
      </c>
      <c r="N74" s="8">
        <v>-1.1271640101800068E-2</v>
      </c>
      <c r="O74" s="8">
        <v>-4.3158319814494611E-2</v>
      </c>
      <c r="P74" s="8">
        <v>-3.7374483033040418E-2</v>
      </c>
      <c r="Q74" s="8">
        <v>-7.0559538829169682E-2</v>
      </c>
      <c r="R74" s="8">
        <v>5.2659838988534657E-2</v>
      </c>
      <c r="S74" s="8">
        <v>-1.4885824000968245E-2</v>
      </c>
      <c r="T74" s="8">
        <v>-1.8521383688066329E-2</v>
      </c>
      <c r="U74" s="8">
        <v>-5.0226272885272039E-3</v>
      </c>
      <c r="V74" s="8">
        <v>-3.22947841268236E-2</v>
      </c>
      <c r="W74" s="8">
        <v>-3.3112385756541657E-2</v>
      </c>
      <c r="X74" s="8">
        <v>-6.2617531199892412E-2</v>
      </c>
      <c r="Y74" s="8">
        <v>-0.12919400010412818</v>
      </c>
      <c r="Z74" s="8">
        <v>-7.6929322667402489E-2</v>
      </c>
      <c r="AA74" s="8">
        <v>-7.2859973191991945E-2</v>
      </c>
      <c r="AB74" s="8">
        <v>-1.7293365831463847E-2</v>
      </c>
      <c r="AC74" s="8">
        <v>3.3229515418357891E-3</v>
      </c>
      <c r="AD74" s="8">
        <v>3.0795755115541668E-2</v>
      </c>
      <c r="AE74" s="8">
        <v>2.4185896583430511E-2</v>
      </c>
      <c r="AF74" s="8">
        <v>-0.12933360643604208</v>
      </c>
      <c r="AG74" s="8">
        <v>-3.7640817380668379E-2</v>
      </c>
      <c r="AH74" s="8">
        <v>-5.305229853402621E-2</v>
      </c>
      <c r="AI74" s="8">
        <v>6.4650071251368679E-3</v>
      </c>
      <c r="AJ74" s="8">
        <v>2.8136778198020879E-2</v>
      </c>
      <c r="AK74" s="8">
        <v>-9.0201463819444744E-2</v>
      </c>
      <c r="AL74" s="8">
        <v>-4.0769118401425775E-2</v>
      </c>
      <c r="AM74" s="8">
        <v>0.15223680710829995</v>
      </c>
      <c r="AN74" s="8">
        <v>-3.516969703438011E-3</v>
      </c>
      <c r="AO74" s="8">
        <v>1.8805609063227702E-3</v>
      </c>
      <c r="AP74" s="8">
        <v>7.1181770591162707E-3</v>
      </c>
      <c r="AQ74" s="8">
        <v>-8.2055056594840775E-2</v>
      </c>
      <c r="AR74" s="8">
        <v>7.5559296701619622E-2</v>
      </c>
      <c r="AS74" s="8">
        <v>-6.9901478860384669E-3</v>
      </c>
      <c r="AT74" s="8">
        <v>3.5443519166679954E-2</v>
      </c>
      <c r="AU74" s="8">
        <v>-5.2189098390467703E-4</v>
      </c>
      <c r="AV74" s="8">
        <v>0.11089145805396161</v>
      </c>
      <c r="AW74" s="8">
        <v>3.2479515825077021E-2</v>
      </c>
      <c r="AX74" s="8">
        <v>-1.3594939578646326E-2</v>
      </c>
      <c r="AY74" s="8">
        <v>6.3113308326614159E-2</v>
      </c>
      <c r="AZ74" s="8">
        <v>-0.16107117167803975</v>
      </c>
      <c r="BA74" s="8">
        <v>-0.12612417409523677</v>
      </c>
      <c r="BB74" s="8">
        <v>-2.6619028252236832E-2</v>
      </c>
      <c r="BC74" s="8">
        <v>-8.5356076273751302E-2</v>
      </c>
      <c r="BD74" s="8">
        <v>-3.3529746571022423E-2</v>
      </c>
      <c r="BE74" s="8">
        <v>2.597369000837621E-2</v>
      </c>
      <c r="BF74" s="8">
        <v>7.3934946450150141E-2</v>
      </c>
      <c r="BG74" s="8">
        <v>6.4083869296907681E-2</v>
      </c>
      <c r="BH74" s="8">
        <v>-7.1639751487924175E-2</v>
      </c>
      <c r="BI74" s="8">
        <v>-4.4541144488094153E-3</v>
      </c>
      <c r="BJ74" s="8">
        <v>3.3639050672435777E-2</v>
      </c>
      <c r="BK74" s="8">
        <v>1.7126805380772769E-2</v>
      </c>
      <c r="BL74" s="8">
        <v>5.1439117704215609E-2</v>
      </c>
      <c r="BM74" s="8">
        <v>4.5516683155054166E-2</v>
      </c>
      <c r="BN74" s="8">
        <v>3.1915740408247906E-2</v>
      </c>
      <c r="BO74" s="8">
        <v>-4.3360852162173141E-2</v>
      </c>
      <c r="BP74" s="8">
        <v>-5.3873317047720026E-2</v>
      </c>
      <c r="BQ74" s="8">
        <v>0.11535221865270223</v>
      </c>
      <c r="BR74" s="8">
        <v>1.8134087940422705E-2</v>
      </c>
      <c r="BS74" s="8">
        <v>8.9785353528884004E-2</v>
      </c>
      <c r="BT74" s="8">
        <v>-5.6971080578750444E-3</v>
      </c>
      <c r="BU74" s="8">
        <v>7.4730519245412519E-2</v>
      </c>
      <c r="BV74" s="8">
        <v>-1.912950465128202E-2</v>
      </c>
      <c r="BW74" s="8">
        <v>1.6624678679291738E-3</v>
      </c>
      <c r="BX74" s="8">
        <v>-0.12135230488291232</v>
      </c>
      <c r="BY74" s="8">
        <v>4.827715128988791E-2</v>
      </c>
      <c r="BZ74" s="8">
        <v>-4.9313158729712425E-3</v>
      </c>
      <c r="CA74" s="8">
        <v>-0.11336913203899979</v>
      </c>
      <c r="CB74" s="8">
        <v>4.2658169804689089E-2</v>
      </c>
      <c r="CC74" s="8">
        <v>0.10621402867930441</v>
      </c>
      <c r="CD74" s="8">
        <v>0.10735271790529977</v>
      </c>
      <c r="CE74" s="8">
        <v>1.6924419759167919E-2</v>
      </c>
      <c r="CF74" s="8">
        <v>1.134172793583807E-2</v>
      </c>
      <c r="CG74" s="8">
        <v>3.6026397053290443E-2</v>
      </c>
      <c r="CH74" s="8">
        <v>2.8390814424205102E-2</v>
      </c>
      <c r="CI74" s="8">
        <v>-2.2120332079155092E-2</v>
      </c>
      <c r="CJ74" s="8">
        <v>-7.4554298793726381E-2</v>
      </c>
      <c r="CK74" s="8">
        <v>-3.4005093665790076E-2</v>
      </c>
      <c r="CL74" s="8">
        <v>-1.3231424033082945E-2</v>
      </c>
      <c r="CM74" s="8">
        <v>9.7473914316533877E-2</v>
      </c>
      <c r="CN74" s="8">
        <v>5.9560568280264847E-2</v>
      </c>
      <c r="CO74" s="8">
        <v>3.831948872578661E-2</v>
      </c>
      <c r="CP74" s="8">
        <v>6.7385114771144672E-2</v>
      </c>
      <c r="CQ74" s="8">
        <v>8.008288399635663E-2</v>
      </c>
      <c r="CR74" s="8">
        <v>3.2682654894607976E-3</v>
      </c>
      <c r="CS74" s="8">
        <v>-3.9752153544125562E-2</v>
      </c>
      <c r="CT74" s="8">
        <v>-5.5652849524442355E-2</v>
      </c>
      <c r="CU74" s="8">
        <v>-5.5875372273950508E-3</v>
      </c>
      <c r="CV74" s="8">
        <v>-1.0615544152717316E-2</v>
      </c>
      <c r="CW74" s="8">
        <v>-2.8560347946083475E-2</v>
      </c>
      <c r="CX74" s="8">
        <v>-3.1409313267720784E-2</v>
      </c>
      <c r="CY74" s="8">
        <v>9.2105498952790799E-2</v>
      </c>
      <c r="CZ74" s="8">
        <v>4.2477165530047462E-2</v>
      </c>
      <c r="DA74" s="8">
        <v>2.7837492639413181E-2</v>
      </c>
      <c r="DB74" s="8">
        <v>-8.1074886742396074E-2</v>
      </c>
      <c r="DC74" s="8">
        <v>2.3590641974354232E-2</v>
      </c>
      <c r="DD74" s="8">
        <v>-5.1966851264493907E-2</v>
      </c>
      <c r="DE74" s="8">
        <v>-6.049133865213302E-3</v>
      </c>
      <c r="DF74" s="8">
        <v>7.9878303208748003E-2</v>
      </c>
      <c r="DG74" s="8">
        <v>-9.6570147632942999E-2</v>
      </c>
      <c r="DH74" s="8">
        <v>-7.162924637122095E-2</v>
      </c>
      <c r="DI74" s="8">
        <v>-1.6344850863704768E-2</v>
      </c>
      <c r="DJ74" s="8">
        <v>1.1878752025787087E-2</v>
      </c>
      <c r="DK74" s="8">
        <v>1.91333137324812E-2</v>
      </c>
      <c r="DL74" s="8">
        <v>3.6721728384264241E-2</v>
      </c>
      <c r="DM74" s="8">
        <v>-0.11841542321663479</v>
      </c>
      <c r="DN74" s="8">
        <v>4.9924348469103652E-2</v>
      </c>
      <c r="DO74" s="8">
        <v>-5.2951205926964673E-2</v>
      </c>
      <c r="DP74" s="8">
        <v>5.8246777221479529E-3</v>
      </c>
      <c r="DQ74" s="8">
        <v>-1.4808857378414197E-2</v>
      </c>
      <c r="DR74" s="8">
        <v>-8.1440482160936079E-2</v>
      </c>
      <c r="DS74" s="8">
        <v>7.4638621832255198E-2</v>
      </c>
      <c r="DT74" s="8">
        <v>-6.528054244997028E-3</v>
      </c>
      <c r="DU74" s="8">
        <v>-1.3669698898980842E-2</v>
      </c>
      <c r="DV74" s="8">
        <v>3.5087799798576957E-2</v>
      </c>
      <c r="DW74" s="8">
        <v>-2.62991091331439E-2</v>
      </c>
      <c r="DX74" s="8">
        <v>9.0294105010617076E-3</v>
      </c>
      <c r="DY74" s="8">
        <v>-7.6133566223152482E-2</v>
      </c>
      <c r="DZ74" s="8">
        <v>-6.956199452491299E-2</v>
      </c>
      <c r="EA74" s="8">
        <v>4.4971801291228186E-2</v>
      </c>
      <c r="EB74" s="8">
        <v>3.607787380258265E-2</v>
      </c>
      <c r="EC74" s="8">
        <v>8.470823854611112E-2</v>
      </c>
      <c r="ED74" s="8">
        <v>3.4656776808363127E-2</v>
      </c>
      <c r="EE74" s="8">
        <v>-2.8503427108160867E-2</v>
      </c>
      <c r="EF74" s="8">
        <v>6.4171911789198677E-3</v>
      </c>
      <c r="EG74" s="8">
        <v>-5.0259663848505276E-2</v>
      </c>
      <c r="EH74" s="8">
        <v>-9.5840657108360067E-2</v>
      </c>
      <c r="EI74" s="8">
        <v>-0.14278745138070659</v>
      </c>
      <c r="EJ74" s="8">
        <v>-2.7798066985643938E-2</v>
      </c>
      <c r="EK74" s="8">
        <v>-4.576008631431E-2</v>
      </c>
      <c r="EL74" s="8">
        <v>2.4479775006895188E-2</v>
      </c>
      <c r="EM74" s="8">
        <v>-7.6559979806591183E-2</v>
      </c>
      <c r="EN74" s="8">
        <v>-5.1273137444314165E-2</v>
      </c>
      <c r="EO74" s="8">
        <v>0.11496143892152236</v>
      </c>
      <c r="EP74" s="8">
        <v>2.4530617730896709E-2</v>
      </c>
      <c r="EQ74" s="8">
        <v>0.1009870182097593</v>
      </c>
      <c r="ER74" s="8">
        <v>-6.5130070134261281E-2</v>
      </c>
      <c r="ES74" s="8">
        <v>5.1078997798346015E-2</v>
      </c>
      <c r="ET74" s="8">
        <v>7.3562699810247656E-2</v>
      </c>
      <c r="EU74" s="8">
        <v>2.4772635755397537E-2</v>
      </c>
      <c r="EV74" s="8">
        <v>-4.6594072515968782E-2</v>
      </c>
      <c r="EW74" s="8">
        <v>6.7220737244580442E-2</v>
      </c>
      <c r="EX74" s="8">
        <v>3.7432085040092544E-2</v>
      </c>
      <c r="EY74" s="8">
        <v>4.7889803721767932E-2</v>
      </c>
      <c r="EZ74" s="8">
        <v>-1.7926796263572825E-2</v>
      </c>
      <c r="FA74" s="8">
        <v>-9.3681429331254118E-2</v>
      </c>
      <c r="FB74" s="8">
        <v>7.6757844799765718E-2</v>
      </c>
      <c r="FC74" s="8">
        <v>-9.9414504458232411E-2</v>
      </c>
      <c r="FD74" s="8">
        <v>7.6078196083416982E-3</v>
      </c>
      <c r="FE74" s="8">
        <v>-3.1846889283664193E-2</v>
      </c>
      <c r="FF74" s="8">
        <v>2.8671065133657803E-2</v>
      </c>
      <c r="FG74" s="8">
        <v>4.0191492723103406E-3</v>
      </c>
      <c r="FH74" s="8">
        <v>4.8306205926521045E-2</v>
      </c>
      <c r="FI74" s="8">
        <v>-3.0005948538995325E-2</v>
      </c>
      <c r="FJ74" s="8">
        <v>2.5646596183660497E-3</v>
      </c>
      <c r="FK74" s="8">
        <v>1.197279654575964E-2</v>
      </c>
      <c r="FL74" s="8">
        <v>-2.9676913209792349E-2</v>
      </c>
      <c r="FM74" s="8">
        <v>0.11947367493349489</v>
      </c>
      <c r="FN74" s="8">
        <v>-7.1110994452741716E-2</v>
      </c>
      <c r="FO74" s="8">
        <v>7.373998905818091E-2</v>
      </c>
      <c r="FP74" s="8">
        <v>-2.9454711033148451E-2</v>
      </c>
      <c r="FQ74" s="8">
        <v>-0.10068551238815021</v>
      </c>
      <c r="FR74" s="8">
        <v>-5.8718905538126392E-2</v>
      </c>
      <c r="FS74" s="8">
        <v>4.6922906699956024E-4</v>
      </c>
      <c r="FT74" s="8">
        <v>-7.9636822490079612E-2</v>
      </c>
      <c r="FU74" s="8">
        <v>-5.5686475787123602E-2</v>
      </c>
      <c r="FV74" s="8">
        <v>-6.5621064596182721E-3</v>
      </c>
      <c r="FW74" s="8">
        <v>2.4211090701344889E-2</v>
      </c>
      <c r="FX74" s="8">
        <v>-3.290575247719163E-2</v>
      </c>
      <c r="FY74" s="8">
        <v>6.1936445106960114E-2</v>
      </c>
      <c r="FZ74" s="8">
        <v>-5.3348160986621707E-2</v>
      </c>
      <c r="GA74" s="8">
        <v>-6.7911876911183833E-2</v>
      </c>
      <c r="GB74" s="8">
        <v>6.6192802148282132E-2</v>
      </c>
      <c r="GC74" s="8">
        <v>-4.504473188066116E-2</v>
      </c>
      <c r="GD74" s="8">
        <v>-1.5364063019360774E-2</v>
      </c>
      <c r="GE74" s="8">
        <v>6.76434488418588E-2</v>
      </c>
      <c r="GF74" s="8">
        <v>7.4904304116487241E-2</v>
      </c>
      <c r="GG74" s="8">
        <v>-7.3380660585025043E-2</v>
      </c>
      <c r="GH74" s="8">
        <v>-2.8535179947129619E-2</v>
      </c>
      <c r="GI74" s="8">
        <v>3.4468414196313329E-2</v>
      </c>
      <c r="GJ74" s="8">
        <v>-3.0775723956399575E-2</v>
      </c>
      <c r="GK74" s="8">
        <v>2.7333681537456606E-2</v>
      </c>
      <c r="GL74" s="8">
        <v>-4.2289152787014284E-2</v>
      </c>
      <c r="GM74" s="8">
        <v>-1.6770868618063706E-3</v>
      </c>
      <c r="GN74" s="8">
        <v>2.722654083212403E-2</v>
      </c>
      <c r="GO74" s="8">
        <v>-3.7646644747580726E-2</v>
      </c>
      <c r="GP74" s="8">
        <v>7.9568495677333068E-2</v>
      </c>
      <c r="GQ74" s="8">
        <v>-8.2972497647264359E-2</v>
      </c>
      <c r="GR74" s="8">
        <v>8.7761119870892301E-2</v>
      </c>
      <c r="GS74" s="8">
        <v>2.3956424130802234E-2</v>
      </c>
      <c r="GT74" s="8">
        <v>-6.0283708079630544E-2</v>
      </c>
      <c r="GU74" s="8">
        <v>3.4739616356842223E-2</v>
      </c>
      <c r="GV74" s="8">
        <v>-5.9118732917594785E-2</v>
      </c>
      <c r="GW74" s="8">
        <v>-2.4688480073434632E-2</v>
      </c>
      <c r="GX74" s="8">
        <v>-2.3981977532058246E-2</v>
      </c>
      <c r="GY74" s="8">
        <v>-8.5917169034923635E-3</v>
      </c>
      <c r="GZ74" s="8">
        <v>-0.10426601920533402</v>
      </c>
      <c r="HA74" s="8">
        <v>-1.9836802736308806E-2</v>
      </c>
      <c r="HB74" s="8">
        <v>5.5158269801877047E-2</v>
      </c>
      <c r="HC74" s="8">
        <v>-6.8618507079452828E-2</v>
      </c>
      <c r="HD74" s="8">
        <v>-5.3371928596689017E-2</v>
      </c>
      <c r="HE74" s="8">
        <v>-8.9900906706371908E-2</v>
      </c>
      <c r="HF74" s="8">
        <v>-7.0323784727800709E-2</v>
      </c>
      <c r="HG74" s="8">
        <v>7.3496426514022467E-2</v>
      </c>
      <c r="HH74" s="8">
        <v>5.2907196365299725E-2</v>
      </c>
      <c r="HI74" s="8">
        <v>-9.9798499875562996E-3</v>
      </c>
      <c r="HJ74" s="8">
        <v>-2.0556515406529807E-2</v>
      </c>
      <c r="HK74" s="8">
        <v>2.9340157289992064E-4</v>
      </c>
      <c r="HL74" s="8">
        <v>7.5799861984276823E-2</v>
      </c>
      <c r="HM74" s="8">
        <v>-2.9505041163442519E-2</v>
      </c>
      <c r="HN74" s="8">
        <v>0.16417734956720703</v>
      </c>
      <c r="HO74" s="8">
        <v>0.17335993302880981</v>
      </c>
      <c r="HP74" s="8">
        <v>4.509184349610279E-2</v>
      </c>
      <c r="HQ74" s="8">
        <v>-8.4652811408036571E-2</v>
      </c>
      <c r="HR74" s="8">
        <v>8.5154393176431309E-2</v>
      </c>
      <c r="HS74" s="8">
        <v>4.536092342554332E-2</v>
      </c>
      <c r="HT74" s="8">
        <v>0.12023070140133371</v>
      </c>
      <c r="HU74" s="8">
        <v>6.8327375295936493E-2</v>
      </c>
      <c r="HV74" s="8">
        <v>-4.6260746184547785E-2</v>
      </c>
      <c r="HW74" s="8">
        <v>0.11185444089536201</v>
      </c>
      <c r="HX74" s="8">
        <v>7.9109759370088573E-2</v>
      </c>
      <c r="HY74" s="8">
        <v>1.3103167007850441E-2</v>
      </c>
      <c r="HZ74" s="8">
        <v>-5.1751839844998204E-2</v>
      </c>
      <c r="IA74" s="8">
        <v>0.13565202114761082</v>
      </c>
      <c r="IB74" s="8">
        <v>-3.4531996739589621E-4</v>
      </c>
      <c r="IC74" s="8">
        <v>-3.8871417065301866E-2</v>
      </c>
      <c r="ID74" s="8">
        <v>2.6812703797933518E-2</v>
      </c>
      <c r="IE74" s="8">
        <v>4.2283212682716481E-2</v>
      </c>
      <c r="IF74" s="8">
        <v>5.695866104471628E-2</v>
      </c>
      <c r="IG74" s="8">
        <v>3.1795509195218813E-2</v>
      </c>
      <c r="IH74" s="8">
        <v>-0.1322799831626949</v>
      </c>
      <c r="II74" s="8">
        <v>0.12370127190198257</v>
      </c>
      <c r="IJ74" s="8">
        <v>-3.6163083403473295E-2</v>
      </c>
      <c r="IK74" s="8">
        <v>0.11875561745655583</v>
      </c>
      <c r="IL74" s="8">
        <v>-3.2971096469653072E-3</v>
      </c>
      <c r="IM74" s="8">
        <v>-8.1263976040826025E-2</v>
      </c>
      <c r="IN74" s="8">
        <v>3.0666030229047625E-3</v>
      </c>
      <c r="IO74" s="8">
        <v>-0.10222128563191668</v>
      </c>
      <c r="IP74" s="8">
        <v>-4.4094054675890892E-2</v>
      </c>
      <c r="IQ74" s="8">
        <v>-4.5614922274929859E-2</v>
      </c>
      <c r="IR74" s="8">
        <v>-4.9619834642782246E-2</v>
      </c>
      <c r="IS74" s="8">
        <v>-5.0631924742626511E-2</v>
      </c>
      <c r="IT74" s="8">
        <v>1.409812866616883E-2</v>
      </c>
    </row>
    <row r="75" spans="1:254" s="11" customFormat="1" x14ac:dyDescent="0.2">
      <c r="A75" s="10"/>
      <c r="B75" s="12">
        <v>5.5</v>
      </c>
      <c r="C75" s="2">
        <f t="shared" si="43"/>
        <v>2.4777107394212444E-2</v>
      </c>
      <c r="D75" s="3">
        <f t="shared" si="44"/>
        <v>8.0481759055893748E-2</v>
      </c>
      <c r="E75" s="8">
        <v>-0.10938435773071872</v>
      </c>
      <c r="F75" s="8">
        <v>3.4191538846732428E-2</v>
      </c>
      <c r="G75" s="8">
        <v>7.5635822273568909E-2</v>
      </c>
      <c r="H75" s="8">
        <v>3.0651494194176288E-3</v>
      </c>
      <c r="I75" s="8">
        <v>-4.0740141230099225E-2</v>
      </c>
      <c r="J75" s="8">
        <v>4.7688996660364219E-2</v>
      </c>
      <c r="K75" s="8">
        <v>1.3815762094630257E-2</v>
      </c>
      <c r="L75" s="8">
        <v>0.13850114597501939</v>
      </c>
      <c r="M75" s="8">
        <v>-4.159820006905901E-2</v>
      </c>
      <c r="N75" s="8">
        <v>1.1476245860434442E-2</v>
      </c>
      <c r="O75" s="8">
        <v>-4.4898791523831832E-2</v>
      </c>
      <c r="P75" s="8">
        <v>-4.1754456701864423E-2</v>
      </c>
      <c r="Q75" s="8">
        <v>-4.8708427281284078E-2</v>
      </c>
      <c r="R75" s="8">
        <v>5.8917423879486452E-2</v>
      </c>
      <c r="S75" s="8">
        <v>1.2856816885302186E-2</v>
      </c>
      <c r="T75" s="8">
        <v>-4.8604961641514177E-2</v>
      </c>
      <c r="U75" s="8">
        <v>-2.939493779193586E-3</v>
      </c>
      <c r="V75" s="8">
        <v>-3.1785438722556514E-2</v>
      </c>
      <c r="W75" s="8">
        <v>-3.0282596674525208E-2</v>
      </c>
      <c r="X75" s="8">
        <v>-6.2873881141731425E-2</v>
      </c>
      <c r="Y75" s="8">
        <v>-0.1223040309203226</v>
      </c>
      <c r="Z75" s="8">
        <v>-6.7915602792233964E-2</v>
      </c>
      <c r="AA75" s="8">
        <v>-6.4370472585128652E-2</v>
      </c>
      <c r="AB75" s="8">
        <v>8.0400285064903265E-3</v>
      </c>
      <c r="AC75" s="8">
        <v>3.8465614911260548E-3</v>
      </c>
      <c r="AD75" s="8">
        <v>2.597429578110716E-2</v>
      </c>
      <c r="AE75" s="8">
        <v>9.2173178664063382E-3</v>
      </c>
      <c r="AF75" s="8">
        <v>-0.11017107243006211</v>
      </c>
      <c r="AG75" s="8">
        <v>-5.7124661502713697E-2</v>
      </c>
      <c r="AH75" s="8">
        <v>-4.8699906331336584E-2</v>
      </c>
      <c r="AI75" s="8">
        <v>3.3866861200299025E-5</v>
      </c>
      <c r="AJ75" s="8">
        <v>2.2229723352979014E-2</v>
      </c>
      <c r="AK75" s="8">
        <v>-9.0829619445046639E-2</v>
      </c>
      <c r="AL75" s="8">
        <v>-2.3785571853441573E-2</v>
      </c>
      <c r="AM75" s="8">
        <v>0.10186356679757491</v>
      </c>
      <c r="AN75" s="8">
        <v>-4.3939585398522496E-3</v>
      </c>
      <c r="AO75" s="8">
        <v>3.9931205007229076E-2</v>
      </c>
      <c r="AP75" s="8">
        <v>1.6494086005051645E-2</v>
      </c>
      <c r="AQ75" s="8">
        <v>-7.6946331706562204E-2</v>
      </c>
      <c r="AR75" s="8">
        <v>7.8091867765820111E-2</v>
      </c>
      <c r="AS75" s="8">
        <v>-1.8128619267865353E-5</v>
      </c>
      <c r="AT75" s="8">
        <v>2.2258253900219266E-2</v>
      </c>
      <c r="AU75" s="8">
        <v>-1.8805259011318992E-2</v>
      </c>
      <c r="AV75" s="8">
        <v>0.11563173026217094</v>
      </c>
      <c r="AW75" s="8">
        <v>2.2248129937878364E-2</v>
      </c>
      <c r="AX75" s="8">
        <v>-3.7436478714188037E-2</v>
      </c>
      <c r="AY75" s="8">
        <v>7.0050244487667168E-2</v>
      </c>
      <c r="AZ75" s="8">
        <v>-0.1581390911207384</v>
      </c>
      <c r="BA75" s="8">
        <v>-0.12524177687996932</v>
      </c>
      <c r="BB75" s="8">
        <v>-1.1075832301096766E-2</v>
      </c>
      <c r="BC75" s="8">
        <v>-6.9730017995063232E-2</v>
      </c>
      <c r="BD75" s="8">
        <v>-6.5094653912972505E-2</v>
      </c>
      <c r="BE75" s="8">
        <v>4.1816182690983084E-2</v>
      </c>
      <c r="BF75" s="8">
        <v>5.9124972052185754E-2</v>
      </c>
      <c r="BG75" s="8">
        <v>6.1813461350523236E-2</v>
      </c>
      <c r="BH75" s="8">
        <v>-8.8846202619390441E-2</v>
      </c>
      <c r="BI75" s="8">
        <v>-1.6046453086903112E-3</v>
      </c>
      <c r="BJ75" s="8">
        <v>3.1238010379660897E-2</v>
      </c>
      <c r="BK75" s="8">
        <v>1.6115498108311449E-2</v>
      </c>
      <c r="BL75" s="8">
        <v>4.9358184791614218E-2</v>
      </c>
      <c r="BM75" s="8">
        <v>3.1210636819556409E-2</v>
      </c>
      <c r="BN75" s="8">
        <v>3.1325642983971669E-2</v>
      </c>
      <c r="BO75" s="8">
        <v>-4.0646021556930506E-2</v>
      </c>
      <c r="BP75" s="8">
        <v>-5.2009952731758541E-2</v>
      </c>
      <c r="BQ75" s="8">
        <v>9.5024865869900332E-2</v>
      </c>
      <c r="BR75" s="8">
        <v>1.8592528073498371E-2</v>
      </c>
      <c r="BS75" s="8">
        <v>8.2007986886822509E-2</v>
      </c>
      <c r="BT75" s="8">
        <v>-4.7774970775674691E-2</v>
      </c>
      <c r="BU75" s="8">
        <v>5.6789547376834393E-2</v>
      </c>
      <c r="BV75" s="8">
        <v>-2.3548966428062923E-2</v>
      </c>
      <c r="BW75" s="8">
        <v>3.8980981766166017E-2</v>
      </c>
      <c r="BX75" s="8">
        <v>-0.12655793129730272</v>
      </c>
      <c r="BY75" s="8">
        <v>5.49601681785723E-2</v>
      </c>
      <c r="BZ75" s="8">
        <v>-4.9473146890675779E-2</v>
      </c>
      <c r="CA75" s="8">
        <v>-0.12490140178104914</v>
      </c>
      <c r="CB75" s="8">
        <v>5.9623874715359931E-2</v>
      </c>
      <c r="CC75" s="8">
        <v>7.6685151892348868E-2</v>
      </c>
      <c r="CD75" s="8">
        <v>0.10052578211037488</v>
      </c>
      <c r="CE75" s="8">
        <v>2.4902206925724091E-2</v>
      </c>
      <c r="CF75" s="8">
        <v>2.2055282152062761E-2</v>
      </c>
      <c r="CG75" s="8">
        <v>3.0436949390702434E-2</v>
      </c>
      <c r="CH75" s="8">
        <v>1.7897517198134594E-2</v>
      </c>
      <c r="CI75" s="8">
        <v>-3.7511524487567893E-2</v>
      </c>
      <c r="CJ75" s="8">
        <v>-5.6794914863854074E-2</v>
      </c>
      <c r="CK75" s="8">
        <v>-3.516786695982263E-2</v>
      </c>
      <c r="CL75" s="8">
        <v>-8.312600666597586E-3</v>
      </c>
      <c r="CM75" s="8">
        <v>9.5295808576086549E-2</v>
      </c>
      <c r="CN75" s="8">
        <v>6.5159564739624809E-2</v>
      </c>
      <c r="CO75" s="8">
        <v>2.5838102008370778E-2</v>
      </c>
      <c r="CP75" s="8">
        <v>6.1189575725460799E-2</v>
      </c>
      <c r="CQ75" s="8">
        <v>6.2148123653464171E-2</v>
      </c>
      <c r="CR75" s="8">
        <v>1.1810225011782555E-2</v>
      </c>
      <c r="CS75" s="8">
        <v>-3.7605647379200968E-2</v>
      </c>
      <c r="CT75" s="8">
        <v>-4.6150680898112223E-2</v>
      </c>
      <c r="CU75" s="8">
        <v>-3.8582985266028269E-3</v>
      </c>
      <c r="CV75" s="8">
        <v>-1.2532250736304817E-2</v>
      </c>
      <c r="CW75" s="8">
        <v>-1.2990514957067045E-2</v>
      </c>
      <c r="CX75" s="8">
        <v>-2.683494967394584E-2</v>
      </c>
      <c r="CY75" s="8">
        <v>7.6846771878980175E-2</v>
      </c>
      <c r="CZ75" s="8">
        <v>8.2941918166382994E-2</v>
      </c>
      <c r="DA75" s="8">
        <v>4.8334123674091678E-3</v>
      </c>
      <c r="DB75" s="8">
        <v>-6.9883682381618184E-2</v>
      </c>
      <c r="DC75" s="8">
        <v>3.9026465433568025E-2</v>
      </c>
      <c r="DD75" s="8">
        <v>-3.7838012264285598E-2</v>
      </c>
      <c r="DE75" s="8">
        <v>-1.1816246103874495E-2</v>
      </c>
      <c r="DF75" s="8">
        <v>0.10556943144676834</v>
      </c>
      <c r="DG75" s="8">
        <v>-8.6565735199969296E-2</v>
      </c>
      <c r="DH75" s="8">
        <v>-4.5758594343685954E-2</v>
      </c>
      <c r="DI75" s="8">
        <v>2.5106692303730749E-3</v>
      </c>
      <c r="DJ75" s="8">
        <v>1.4061206350263172E-2</v>
      </c>
      <c r="DK75" s="8">
        <v>1.2220454908554085E-2</v>
      </c>
      <c r="DL75" s="8">
        <v>2.37625080551922E-2</v>
      </c>
      <c r="DM75" s="8">
        <v>-0.10309856508046136</v>
      </c>
      <c r="DN75" s="8">
        <v>4.8954677945654362E-2</v>
      </c>
      <c r="DO75" s="8">
        <v>-8.13998842915373E-2</v>
      </c>
      <c r="DP75" s="8">
        <v>2.0918241196114407E-2</v>
      </c>
      <c r="DQ75" s="8">
        <v>6.2666746097088666E-3</v>
      </c>
      <c r="DR75" s="8">
        <v>-4.1222075256788115E-2</v>
      </c>
      <c r="DS75" s="8">
        <v>5.6253652413203126E-2</v>
      </c>
      <c r="DT75" s="8">
        <v>-1.1907528399678347E-2</v>
      </c>
      <c r="DU75" s="8">
        <v>-2.566079218809994E-2</v>
      </c>
      <c r="DV75" s="8">
        <v>5.293267944664351E-2</v>
      </c>
      <c r="DW75" s="8">
        <v>-2.3201889676614296E-2</v>
      </c>
      <c r="DX75" s="8">
        <v>3.5623787121727424E-2</v>
      </c>
      <c r="DY75" s="8">
        <v>-7.6621628839823042E-2</v>
      </c>
      <c r="DZ75" s="8">
        <v>-7.0272803032836895E-2</v>
      </c>
      <c r="EA75" s="8">
        <v>4.5904083769772064E-2</v>
      </c>
      <c r="EB75" s="8">
        <v>2.5863719431412496E-2</v>
      </c>
      <c r="EC75" s="8">
        <v>5.4979263448801552E-2</v>
      </c>
      <c r="ED75" s="8">
        <v>2.3667565346020075E-2</v>
      </c>
      <c r="EE75" s="8">
        <v>-4.7221923006824984E-2</v>
      </c>
      <c r="EF75" s="8">
        <v>-1.8452951733767597E-2</v>
      </c>
      <c r="EG75" s="8">
        <v>-3.2853566469187689E-2</v>
      </c>
      <c r="EH75" s="8">
        <v>-5.3126350666838906E-2</v>
      </c>
      <c r="EI75" s="8">
        <v>-0.13684559439609614</v>
      </c>
      <c r="EJ75" s="8">
        <v>-9.0224368282659784E-4</v>
      </c>
      <c r="EK75" s="8">
        <v>-2.9176649710555613E-2</v>
      </c>
      <c r="EL75" s="8">
        <v>4.5793747634024579E-2</v>
      </c>
      <c r="EM75" s="8">
        <v>-8.4801366414794271E-2</v>
      </c>
      <c r="EN75" s="8">
        <v>-5.444759689434947E-2</v>
      </c>
      <c r="EO75" s="8">
        <v>9.9356821291660263E-2</v>
      </c>
      <c r="EP75" s="8">
        <v>7.9263299991569613E-3</v>
      </c>
      <c r="EQ75" s="8">
        <v>0.1058944577302168</v>
      </c>
      <c r="ER75" s="8">
        <v>-7.2107928692022066E-2</v>
      </c>
      <c r="ES75" s="8">
        <v>6.2016378898537811E-2</v>
      </c>
      <c r="ET75" s="8">
        <v>7.7375005127235497E-2</v>
      </c>
      <c r="EU75" s="8">
        <v>3.0895939462043137E-2</v>
      </c>
      <c r="EV75" s="8">
        <v>-3.6816767585190674E-2</v>
      </c>
      <c r="EW75" s="8">
        <v>6.8989053021243474E-2</v>
      </c>
      <c r="EX75" s="8">
        <v>6.4846093153689555E-2</v>
      </c>
      <c r="EY75" s="8">
        <v>4.119571496470012E-2</v>
      </c>
      <c r="EZ75" s="8">
        <v>-1.800602185885597E-2</v>
      </c>
      <c r="FA75" s="8">
        <v>-8.8580155812069683E-2</v>
      </c>
      <c r="FB75" s="8">
        <v>5.5294669754280323E-2</v>
      </c>
      <c r="FC75" s="8">
        <v>-0.11193026791423211</v>
      </c>
      <c r="FD75" s="8">
        <v>2.4324274608135937E-2</v>
      </c>
      <c r="FE75" s="8">
        <v>-3.0934024105098268E-2</v>
      </c>
      <c r="FF75" s="8">
        <v>1.2604715778967601E-2</v>
      </c>
      <c r="FG75" s="8">
        <v>-1.353814824378885E-2</v>
      </c>
      <c r="FH75" s="8">
        <v>6.8769546680516047E-2</v>
      </c>
      <c r="FI75" s="8">
        <v>-3.360447488582885E-2</v>
      </c>
      <c r="FJ75" s="8">
        <v>1.2259336267238907E-2</v>
      </c>
      <c r="FK75" s="8">
        <v>-2.3727791248828928E-2</v>
      </c>
      <c r="FL75" s="8">
        <v>-5.5077475710859219E-2</v>
      </c>
      <c r="FM75" s="8">
        <v>9.9064519788865268E-2</v>
      </c>
      <c r="FN75" s="8">
        <v>-7.7634842863923054E-2</v>
      </c>
      <c r="FO75" s="8">
        <v>6.6825822230678428E-2</v>
      </c>
      <c r="FP75" s="8">
        <v>-2.8743996194971921E-2</v>
      </c>
      <c r="FQ75" s="8">
        <v>-0.11802473014718193</v>
      </c>
      <c r="FR75" s="8">
        <v>-4.5088862689154657E-2</v>
      </c>
      <c r="FS75" s="8">
        <v>1.4650876995668582E-2</v>
      </c>
      <c r="FT75" s="8">
        <v>-7.916068202407528E-2</v>
      </c>
      <c r="FU75" s="8">
        <v>-6.3228152935453863E-2</v>
      </c>
      <c r="FV75" s="8">
        <v>-2.604990385051098E-2</v>
      </c>
      <c r="FW75" s="8">
        <v>3.5153809697144239E-2</v>
      </c>
      <c r="FX75" s="8">
        <v>-3.132021985822378E-2</v>
      </c>
      <c r="FY75" s="8">
        <v>2.3008064386640631E-2</v>
      </c>
      <c r="FZ75" s="8">
        <v>-5.5225076065637341E-2</v>
      </c>
      <c r="GA75" s="8">
        <v>-5.7959352381265927E-2</v>
      </c>
      <c r="GB75" s="8">
        <v>7.4457102946134557E-2</v>
      </c>
      <c r="GC75" s="8">
        <v>-2.8167231349002286E-2</v>
      </c>
      <c r="GD75" s="8">
        <v>-4.4689063198206369E-3</v>
      </c>
      <c r="GE75" s="8">
        <v>6.356183826914974E-2</v>
      </c>
      <c r="GF75" s="8">
        <v>5.1353398062380595E-2</v>
      </c>
      <c r="GG75" s="8">
        <v>-8.3755184199306609E-2</v>
      </c>
      <c r="GH75" s="8">
        <v>-2.9917057651080325E-2</v>
      </c>
      <c r="GI75" s="8">
        <v>3.7967840638753109E-2</v>
      </c>
      <c r="GJ75" s="8">
        <v>-3.6024043340310924E-2</v>
      </c>
      <c r="GK75" s="8">
        <v>1.70043566789633E-2</v>
      </c>
      <c r="GL75" s="8">
        <v>-5.2342303512744215E-2</v>
      </c>
      <c r="GM75" s="8">
        <v>-7.7056933904172675E-3</v>
      </c>
      <c r="GN75" s="8">
        <v>3.0668717714311677E-3</v>
      </c>
      <c r="GO75" s="8">
        <v>-4.808711021645537E-2</v>
      </c>
      <c r="GP75" s="8">
        <v>8.1595577644211326E-2</v>
      </c>
      <c r="GQ75" s="8">
        <v>-7.3045022777034008E-2</v>
      </c>
      <c r="GR75" s="8">
        <v>9.8974864014907404E-2</v>
      </c>
      <c r="GS75" s="8">
        <v>2.6949669849802821E-2</v>
      </c>
      <c r="GT75" s="8">
        <v>-5.6040521820935912E-2</v>
      </c>
      <c r="GU75" s="8">
        <v>7.2249186719131886E-3</v>
      </c>
      <c r="GV75" s="8">
        <v>-6.8027101842312865E-2</v>
      </c>
      <c r="GW75" s="8">
        <v>-3.6091540423943524E-2</v>
      </c>
      <c r="GX75" s="8">
        <v>-1.6842764695839174E-2</v>
      </c>
      <c r="GY75" s="8">
        <v>1.3678502166323547E-2</v>
      </c>
      <c r="GZ75" s="8">
        <v>-0.10674375710404166</v>
      </c>
      <c r="HA75" s="8">
        <v>-5.0150887371269076E-2</v>
      </c>
      <c r="HB75" s="8">
        <v>5.6653931245000733E-2</v>
      </c>
      <c r="HC75" s="8">
        <v>-6.5526721304117991E-2</v>
      </c>
      <c r="HD75" s="8">
        <v>-3.8229895088113003E-2</v>
      </c>
      <c r="HE75" s="8">
        <v>-8.655150537495751E-2</v>
      </c>
      <c r="HF75" s="8">
        <v>-5.5636291316762843E-2</v>
      </c>
      <c r="HG75" s="8">
        <v>8.6437927456629648E-2</v>
      </c>
      <c r="HH75" s="8">
        <v>1.0107084977982073E-2</v>
      </c>
      <c r="HI75" s="8">
        <v>-3.5244870266760098E-2</v>
      </c>
      <c r="HJ75" s="8">
        <v>-1.5251588071125116E-2</v>
      </c>
      <c r="HK75" s="8">
        <v>1.2582929984358865E-2</v>
      </c>
      <c r="HL75" s="8">
        <v>8.0481759055893748E-2</v>
      </c>
      <c r="HM75" s="8">
        <v>2.8893314348568677E-3</v>
      </c>
      <c r="HN75" s="8">
        <v>0.17724553812645363</v>
      </c>
      <c r="HO75" s="8">
        <v>0.13972490624215106</v>
      </c>
      <c r="HP75" s="8">
        <v>6.2571752020242899E-2</v>
      </c>
      <c r="HQ75" s="8">
        <v>-8.0749571030750533E-2</v>
      </c>
      <c r="HR75" s="8">
        <v>8.0741070534637138E-2</v>
      </c>
      <c r="HS75" s="8">
        <v>3.1186616345941554E-2</v>
      </c>
      <c r="HT75" s="8">
        <v>0.12026368184993175</v>
      </c>
      <c r="HU75" s="8">
        <v>3.5630798097800787E-2</v>
      </c>
      <c r="HV75" s="8">
        <v>-6.4452595529408518E-2</v>
      </c>
      <c r="HW75" s="8">
        <v>0.12190627761352668</v>
      </c>
      <c r="HX75" s="8">
        <v>8.688579963496107E-2</v>
      </c>
      <c r="HY75" s="8">
        <v>-1.0551130008923632E-2</v>
      </c>
      <c r="HZ75" s="8">
        <v>-3.3580771360933293E-2</v>
      </c>
      <c r="IA75" s="8">
        <v>8.5166024637105681E-2</v>
      </c>
      <c r="IB75" s="8">
        <v>1.9942618867868633E-3</v>
      </c>
      <c r="IC75" s="8">
        <v>-4.4229998627343281E-2</v>
      </c>
      <c r="ID75" s="8">
        <v>1.8861052623766E-2</v>
      </c>
      <c r="IE75" s="8">
        <v>8.8097029244527114E-2</v>
      </c>
      <c r="IF75" s="8">
        <v>7.4940910932616872E-2</v>
      </c>
      <c r="IG75" s="8">
        <v>5.9951942535545921E-2</v>
      </c>
      <c r="IH75" s="8">
        <v>-0.1482243840700268</v>
      </c>
      <c r="II75" s="8">
        <v>0.12762753094584212</v>
      </c>
      <c r="IJ75" s="8">
        <v>-1.6499504820128436E-2</v>
      </c>
      <c r="IK75" s="8">
        <v>0.10944128122139163</v>
      </c>
      <c r="IL75" s="8">
        <v>1.4727406972181667E-2</v>
      </c>
      <c r="IM75" s="8">
        <v>-6.720581025668787E-2</v>
      </c>
      <c r="IN75" s="8">
        <v>-3.7023452947349544E-3</v>
      </c>
      <c r="IO75" s="8">
        <v>-9.2742142865392535E-2</v>
      </c>
      <c r="IP75" s="8">
        <v>-2.6675729629679318E-2</v>
      </c>
      <c r="IQ75" s="8">
        <v>-4.3397336862168651E-2</v>
      </c>
      <c r="IR75" s="8">
        <v>-4.1821345747826588E-2</v>
      </c>
      <c r="IS75" s="8">
        <v>-5.4873139449553299E-2</v>
      </c>
      <c r="IT75" s="8">
        <v>2.8956090835838194E-2</v>
      </c>
    </row>
    <row r="76" spans="1:254" s="11" customFormat="1" x14ac:dyDescent="0.2">
      <c r="A76" s="10"/>
      <c r="B76" s="12">
        <v>5.75</v>
      </c>
      <c r="C76" s="2">
        <f t="shared" si="43"/>
        <v>2.3823189812650379E-2</v>
      </c>
      <c r="D76" s="3">
        <f t="shared" si="44"/>
        <v>7.5643532788043838E-2</v>
      </c>
      <c r="E76" s="8">
        <v>-8.6499174632025694E-2</v>
      </c>
      <c r="F76" s="8">
        <v>4.5550622383763506E-2</v>
      </c>
      <c r="G76" s="8">
        <v>7.0865295987308285E-2</v>
      </c>
      <c r="H76" s="8">
        <v>-1.5439150383896316E-3</v>
      </c>
      <c r="I76" s="8">
        <v>-3.2478766071351389E-2</v>
      </c>
      <c r="J76" s="8">
        <v>5.5232058258732231E-2</v>
      </c>
      <c r="K76" s="8">
        <v>4.7426979265152991E-3</v>
      </c>
      <c r="L76" s="8">
        <v>0.11859448525843785</v>
      </c>
      <c r="M76" s="8">
        <v>-3.526403629502925E-2</v>
      </c>
      <c r="N76" s="8">
        <v>3.4905401387745616E-3</v>
      </c>
      <c r="O76" s="8">
        <v>-3.9300148372276023E-2</v>
      </c>
      <c r="P76" s="8">
        <v>-2.4706812877565792E-2</v>
      </c>
      <c r="Q76" s="8">
        <v>-3.8256716320019257E-2</v>
      </c>
      <c r="R76" s="8">
        <v>4.9083704980928955E-2</v>
      </c>
      <c r="S76" s="8">
        <v>1.7800565131024682E-2</v>
      </c>
      <c r="T76" s="8">
        <v>-3.4255856962632447E-2</v>
      </c>
      <c r="U76" s="8">
        <v>2.8175309293601125E-2</v>
      </c>
      <c r="V76" s="8">
        <v>-2.8178139847156891E-2</v>
      </c>
      <c r="W76" s="8">
        <v>-6.5864044750597039E-3</v>
      </c>
      <c r="X76" s="8">
        <v>-5.7933860851628549E-2</v>
      </c>
      <c r="Y76" s="8">
        <v>-0.12052514983068727</v>
      </c>
      <c r="Z76" s="8">
        <v>-4.3628433402151251E-2</v>
      </c>
      <c r="AA76" s="8">
        <v>-8.8343239991483968E-2</v>
      </c>
      <c r="AB76" s="8">
        <v>1.4830809814286999E-2</v>
      </c>
      <c r="AC76" s="8">
        <v>9.9399220920106945E-3</v>
      </c>
      <c r="AD76" s="8">
        <v>2.7270145222142578E-2</v>
      </c>
      <c r="AE76" s="8">
        <v>2.2557662092109465E-2</v>
      </c>
      <c r="AF76" s="8">
        <v>-9.5285418267404332E-2</v>
      </c>
      <c r="AG76" s="8">
        <v>-2.9468947871128415E-2</v>
      </c>
      <c r="AH76" s="8">
        <v>-5.4239688135968328E-2</v>
      </c>
      <c r="AI76" s="8">
        <v>-3.0760795458821988E-2</v>
      </c>
      <c r="AJ76" s="8">
        <v>7.6795696142361869E-3</v>
      </c>
      <c r="AK76" s="8">
        <v>-8.9244432833192278E-2</v>
      </c>
      <c r="AL76" s="8">
        <v>-2.0583987018679972E-2</v>
      </c>
      <c r="AM76" s="8">
        <v>0.10303435185541795</v>
      </c>
      <c r="AN76" s="8">
        <v>1.4475796012278219E-3</v>
      </c>
      <c r="AO76" s="8">
        <v>3.9299236180480118E-2</v>
      </c>
      <c r="AP76" s="8">
        <v>3.2320055271854692E-2</v>
      </c>
      <c r="AQ76" s="8">
        <v>-8.7115612317641866E-2</v>
      </c>
      <c r="AR76" s="8">
        <v>6.641431395277908E-2</v>
      </c>
      <c r="AS76" s="8">
        <v>2.2931621342973607E-2</v>
      </c>
      <c r="AT76" s="8">
        <v>4.2061429999661032E-2</v>
      </c>
      <c r="AU76" s="8">
        <v>5.1158478226520643E-4</v>
      </c>
      <c r="AV76" s="8">
        <v>0.14368780023451522</v>
      </c>
      <c r="AW76" s="8">
        <v>-5.6038889597226083E-3</v>
      </c>
      <c r="AX76" s="8">
        <v>-3.4372977096955831E-2</v>
      </c>
      <c r="AY76" s="8">
        <v>6.300826973590215E-2</v>
      </c>
      <c r="AZ76" s="8">
        <v>-0.15643820744513104</v>
      </c>
      <c r="BA76" s="8">
        <v>-0.11939272985680432</v>
      </c>
      <c r="BB76" s="8">
        <v>-3.0373258647386464E-2</v>
      </c>
      <c r="BC76" s="8">
        <v>-3.6750498858929115E-2</v>
      </c>
      <c r="BD76" s="8">
        <v>-6.254368362332402E-2</v>
      </c>
      <c r="BE76" s="8">
        <v>2.8772979819310401E-2</v>
      </c>
      <c r="BF76" s="8">
        <v>4.5981547983482557E-2</v>
      </c>
      <c r="BG76" s="8">
        <v>1.6124109506749973E-2</v>
      </c>
      <c r="BH76" s="8">
        <v>-8.7215424829700045E-2</v>
      </c>
      <c r="BI76" s="8">
        <v>-1.6374890125374381E-2</v>
      </c>
      <c r="BJ76" s="8">
        <v>1.7010429167839902E-2</v>
      </c>
      <c r="BK76" s="8">
        <v>-5.6436666847171635E-3</v>
      </c>
      <c r="BL76" s="8">
        <v>5.4141261251572842E-2</v>
      </c>
      <c r="BM76" s="8">
        <v>3.2946325652893682E-2</v>
      </c>
      <c r="BN76" s="8">
        <v>3.1678422780599541E-2</v>
      </c>
      <c r="BO76" s="8">
        <v>-5.6748599985658621E-2</v>
      </c>
      <c r="BP76" s="8">
        <v>-4.5279998311417186E-2</v>
      </c>
      <c r="BQ76" s="8">
        <v>0.10273152340432318</v>
      </c>
      <c r="BR76" s="8">
        <v>1.8173231701429288E-2</v>
      </c>
      <c r="BS76" s="8">
        <v>6.5217765529184041E-2</v>
      </c>
      <c r="BT76" s="8">
        <v>-4.1789121162165349E-2</v>
      </c>
      <c r="BU76" s="8">
        <v>2.7961266989252637E-2</v>
      </c>
      <c r="BV76" s="8">
        <v>-7.8617689203996921E-4</v>
      </c>
      <c r="BW76" s="8">
        <v>1.9985371062398394E-2</v>
      </c>
      <c r="BX76" s="8">
        <v>-0.13579750656842349</v>
      </c>
      <c r="BY76" s="8">
        <v>2.8475753205953969E-2</v>
      </c>
      <c r="BZ76" s="8">
        <v>-3.9857069905699261E-2</v>
      </c>
      <c r="CA76" s="8">
        <v>-0.12194470720676825</v>
      </c>
      <c r="CB76" s="8">
        <v>3.338037175499653E-2</v>
      </c>
      <c r="CC76" s="8">
        <v>7.2325931851064978E-2</v>
      </c>
      <c r="CD76" s="8">
        <v>0.11311586829762452</v>
      </c>
      <c r="CE76" s="8">
        <v>3.3852936687754742E-2</v>
      </c>
      <c r="CF76" s="8">
        <v>3.461462275808258E-2</v>
      </c>
      <c r="CG76" s="8">
        <v>3.7522903176831324E-2</v>
      </c>
      <c r="CH76" s="8">
        <v>3.7589701028029832E-2</v>
      </c>
      <c r="CI76" s="8">
        <v>-3.5271329739080148E-2</v>
      </c>
      <c r="CJ76" s="8">
        <v>-4.8248052712987072E-2</v>
      </c>
      <c r="CK76" s="8">
        <v>-2.8731079742012278E-2</v>
      </c>
      <c r="CL76" s="8">
        <v>-3.5971155642145092E-2</v>
      </c>
      <c r="CM76" s="8">
        <v>8.7342228969105956E-2</v>
      </c>
      <c r="CN76" s="8">
        <v>7.3112377593508582E-2</v>
      </c>
      <c r="CO76" s="8">
        <v>3.2231942381415635E-2</v>
      </c>
      <c r="CP76" s="8">
        <v>5.1466346705477117E-2</v>
      </c>
      <c r="CQ76" s="8">
        <v>7.8280018550623748E-2</v>
      </c>
      <c r="CR76" s="8">
        <v>1.7404475237076555E-2</v>
      </c>
      <c r="CS76" s="8">
        <v>-3.7973987771244194E-2</v>
      </c>
      <c r="CT76" s="8">
        <v>-4.1148878360840246E-2</v>
      </c>
      <c r="CU76" s="8">
        <v>1.3846934951305373E-2</v>
      </c>
      <c r="CV76" s="8">
        <v>-3.5105254859117974E-2</v>
      </c>
      <c r="CW76" s="8">
        <v>-3.848904859584279E-2</v>
      </c>
      <c r="CX76" s="8">
        <v>-4.6283508657855771E-2</v>
      </c>
      <c r="CY76" s="8">
        <v>3.6106633066398219E-2</v>
      </c>
      <c r="CZ76" s="8">
        <v>9.9817564854477681E-2</v>
      </c>
      <c r="DA76" s="8">
        <v>1.9687157780656939E-2</v>
      </c>
      <c r="DB76" s="8">
        <v>-4.516389396565379E-2</v>
      </c>
      <c r="DC76" s="8">
        <v>5.7416577194033813E-3</v>
      </c>
      <c r="DD76" s="8">
        <v>-4.0337060838308209E-2</v>
      </c>
      <c r="DE76" s="8">
        <v>-3.856435335097641E-2</v>
      </c>
      <c r="DF76" s="8">
        <v>0.10888338001272618</v>
      </c>
      <c r="DG76" s="8">
        <v>-8.9662450710650488E-2</v>
      </c>
      <c r="DH76" s="8">
        <v>-4.7818349423449286E-2</v>
      </c>
      <c r="DI76" s="8">
        <v>3.8075332752504715E-2</v>
      </c>
      <c r="DJ76" s="8">
        <v>1.5408933623865972E-2</v>
      </c>
      <c r="DK76" s="8">
        <v>9.6402168430766433E-3</v>
      </c>
      <c r="DL76" s="8">
        <v>4.2933643021771606E-2</v>
      </c>
      <c r="DM76" s="8">
        <v>-0.10810511340961049</v>
      </c>
      <c r="DN76" s="8">
        <v>6.6980954581028984E-2</v>
      </c>
      <c r="DO76" s="8">
        <v>-7.5319596794874155E-2</v>
      </c>
      <c r="DP76" s="8">
        <v>1.055537835019818E-2</v>
      </c>
      <c r="DQ76" s="8">
        <v>2.8823346698442387E-2</v>
      </c>
      <c r="DR76" s="8">
        <v>-3.1949483623545466E-2</v>
      </c>
      <c r="DS76" s="8">
        <v>3.2214801380477776E-2</v>
      </c>
      <c r="DT76" s="8">
        <v>-2.2323999673375117E-2</v>
      </c>
      <c r="DU76" s="8">
        <v>-1.7296389350553831E-2</v>
      </c>
      <c r="DV76" s="8">
        <v>6.0204326339857173E-2</v>
      </c>
      <c r="DW76" s="8">
        <v>-3.0537263315546931E-2</v>
      </c>
      <c r="DX76" s="8">
        <v>3.1663225006182599E-2</v>
      </c>
      <c r="DY76" s="8">
        <v>-8.3878814633101206E-2</v>
      </c>
      <c r="DZ76" s="8">
        <v>-0.10635921525792219</v>
      </c>
      <c r="EA76" s="8">
        <v>4.5117325478356979E-2</v>
      </c>
      <c r="EB76" s="8">
        <v>3.3909594074502669E-2</v>
      </c>
      <c r="EC76" s="8">
        <v>4.0871775438901747E-2</v>
      </c>
      <c r="ED76" s="8">
        <v>8.8767069485102545E-3</v>
      </c>
      <c r="EE76" s="8">
        <v>-5.4350625666533731E-2</v>
      </c>
      <c r="EF76" s="8">
        <v>-5.3036089747852122E-3</v>
      </c>
      <c r="EG76" s="8">
        <v>-4.0910338679863878E-2</v>
      </c>
      <c r="EH76" s="8">
        <v>-5.8077346809954355E-2</v>
      </c>
      <c r="EI76" s="8">
        <v>-0.10840639206732211</v>
      </c>
      <c r="EJ76" s="8">
        <v>-1.1078695637574465E-2</v>
      </c>
      <c r="EK76" s="8">
        <v>-3.2484729389141043E-2</v>
      </c>
      <c r="EL76" s="8">
        <v>2.2199540627695608E-2</v>
      </c>
      <c r="EM76" s="8">
        <v>-6.5818524174135251E-2</v>
      </c>
      <c r="EN76" s="8">
        <v>-3.9559228296639409E-2</v>
      </c>
      <c r="EO76" s="8">
        <v>9.821190462359386E-2</v>
      </c>
      <c r="EP76" s="8">
        <v>3.0282854080002808E-2</v>
      </c>
      <c r="EQ76" s="8">
        <v>9.2127786359716385E-2</v>
      </c>
      <c r="ER76" s="8">
        <v>-5.3522064739247421E-2</v>
      </c>
      <c r="ES76" s="8">
        <v>6.9223362087249773E-2</v>
      </c>
      <c r="ET76" s="8">
        <v>4.9218807874891968E-2</v>
      </c>
      <c r="EU76" s="8">
        <v>3.1731021026547485E-2</v>
      </c>
      <c r="EV76" s="8">
        <v>-4.6505125801964586E-2</v>
      </c>
      <c r="EW76" s="8">
        <v>3.4346911082912102E-2</v>
      </c>
      <c r="EX76" s="8">
        <v>5.438198815314918E-2</v>
      </c>
      <c r="EY76" s="8">
        <v>3.1307949880437558E-2</v>
      </c>
      <c r="EZ76" s="8">
        <v>-1.0429885046949139E-2</v>
      </c>
      <c r="FA76" s="8">
        <v>-6.5530732232554123E-2</v>
      </c>
      <c r="FB76" s="8">
        <v>2.6023699455284155E-2</v>
      </c>
      <c r="FC76" s="8">
        <v>-0.10056497420210755</v>
      </c>
      <c r="FD76" s="8">
        <v>7.3817390571381813E-3</v>
      </c>
      <c r="FE76" s="8">
        <v>-3.417622489661809E-2</v>
      </c>
      <c r="FF76" s="8">
        <v>1.5200122915770276E-2</v>
      </c>
      <c r="FG76" s="8">
        <v>-2.2163671412139319E-2</v>
      </c>
      <c r="FH76" s="8">
        <v>7.945041702750788E-2</v>
      </c>
      <c r="FI76" s="8">
        <v>-1.8738716407311867E-2</v>
      </c>
      <c r="FJ76" s="8">
        <v>1.3200254274860351E-2</v>
      </c>
      <c r="FK76" s="8">
        <v>-2.4559659978760195E-2</v>
      </c>
      <c r="FL76" s="8">
        <v>-3.9228502501069351E-2</v>
      </c>
      <c r="FM76" s="8">
        <v>0.11188558356606865</v>
      </c>
      <c r="FN76" s="8">
        <v>-9.3255871462145423E-2</v>
      </c>
      <c r="FO76" s="8">
        <v>4.8131420020895821E-2</v>
      </c>
      <c r="FP76" s="8">
        <v>-2.5558356870336585E-2</v>
      </c>
      <c r="FQ76" s="8">
        <v>-7.9836731978647713E-2</v>
      </c>
      <c r="FR76" s="8">
        <v>-6.5855478398582135E-2</v>
      </c>
      <c r="FS76" s="8">
        <v>5.2949164559732087E-2</v>
      </c>
      <c r="FT76" s="8">
        <v>-4.7284125617075984E-2</v>
      </c>
      <c r="FU76" s="8">
        <v>-3.1230751691021075E-2</v>
      </c>
      <c r="FV76" s="8">
        <v>-2.8082375499009077E-2</v>
      </c>
      <c r="FW76" s="8">
        <v>4.3692028029295782E-2</v>
      </c>
      <c r="FX76" s="8">
        <v>-5.8062145176221713E-2</v>
      </c>
      <c r="FY76" s="8">
        <v>4.6323992005282699E-3</v>
      </c>
      <c r="FZ76" s="8">
        <v>-5.6142515828999096E-2</v>
      </c>
      <c r="GA76" s="8">
        <v>-4.6458002079254546E-2</v>
      </c>
      <c r="GB76" s="8">
        <v>7.2751260653129896E-2</v>
      </c>
      <c r="GC76" s="8">
        <v>-1.8047733299476593E-2</v>
      </c>
      <c r="GD76" s="8">
        <v>-6.4894276745797452E-3</v>
      </c>
      <c r="GE76" s="8">
        <v>2.8086206657238766E-2</v>
      </c>
      <c r="GF76" s="8">
        <v>3.8909701860411428E-2</v>
      </c>
      <c r="GG76" s="8">
        <v>-0.10087996115544387</v>
      </c>
      <c r="GH76" s="8">
        <v>-1.3401445206502327E-2</v>
      </c>
      <c r="GI76" s="8">
        <v>2.9623051977299697E-3</v>
      </c>
      <c r="GJ76" s="8">
        <v>-7.3235117909711628E-2</v>
      </c>
      <c r="GK76" s="8">
        <v>2.3162039925804678E-2</v>
      </c>
      <c r="GL76" s="8">
        <v>-5.0077946763818937E-2</v>
      </c>
      <c r="GM76" s="8">
        <v>-2.6641830615648177E-2</v>
      </c>
      <c r="GN76" s="8">
        <v>-1.819963086036086E-2</v>
      </c>
      <c r="GO76" s="8">
        <v>-3.0573967507652289E-2</v>
      </c>
      <c r="GP76" s="8">
        <v>7.5643532788043838E-2</v>
      </c>
      <c r="GQ76" s="8">
        <v>-7.1555619255178615E-2</v>
      </c>
      <c r="GR76" s="8">
        <v>0.10220092360896338</v>
      </c>
      <c r="GS76" s="8">
        <v>3.9047558709759456E-2</v>
      </c>
      <c r="GT76" s="8">
        <v>-5.4977103267437238E-2</v>
      </c>
      <c r="GU76" s="8">
        <v>1.8808746526556869E-2</v>
      </c>
      <c r="GV76" s="8">
        <v>-5.4536163253186415E-2</v>
      </c>
      <c r="GW76" s="8">
        <v>-2.7045230731420539E-2</v>
      </c>
      <c r="GX76" s="8">
        <v>-2.7541767363651992E-2</v>
      </c>
      <c r="GY76" s="8">
        <v>-2.468735461118729E-2</v>
      </c>
      <c r="GZ76" s="8">
        <v>-0.11138284683570038</v>
      </c>
      <c r="HA76" s="8">
        <v>-4.3283612093617085E-2</v>
      </c>
      <c r="HB76" s="8">
        <v>5.5646867371764386E-2</v>
      </c>
      <c r="HC76" s="8">
        <v>-7.5322645176010977E-2</v>
      </c>
      <c r="HD76" s="8">
        <v>-4.4611763672631033E-2</v>
      </c>
      <c r="HE76" s="8">
        <v>-7.7578055050545214E-2</v>
      </c>
      <c r="HF76" s="8">
        <v>-8.2373554470070998E-2</v>
      </c>
      <c r="HG76" s="8">
        <v>8.3771350214936979E-2</v>
      </c>
      <c r="HH76" s="8">
        <v>1.939378998450117E-2</v>
      </c>
      <c r="HI76" s="8">
        <v>-3.0981364952181401E-2</v>
      </c>
      <c r="HJ76" s="8">
        <v>-3.0181414517305022E-2</v>
      </c>
      <c r="HK76" s="8">
        <v>2.448338304866271E-2</v>
      </c>
      <c r="HL76" s="8">
        <v>6.847667538245758E-2</v>
      </c>
      <c r="HM76" s="8">
        <v>-2.1934022705961231E-2</v>
      </c>
      <c r="HN76" s="8">
        <v>0.1530858121501828</v>
      </c>
      <c r="HO76" s="8">
        <v>9.8243232868202857E-2</v>
      </c>
      <c r="HP76" s="8">
        <v>5.6142408897332491E-2</v>
      </c>
      <c r="HQ76" s="8">
        <v>-6.76240346365517E-2</v>
      </c>
      <c r="HR76" s="8">
        <v>5.9831329627973329E-2</v>
      </c>
      <c r="HS76" s="8">
        <v>3.936170107006462E-2</v>
      </c>
      <c r="HT76" s="8">
        <v>0.12952296210162134</v>
      </c>
      <c r="HU76" s="8">
        <v>4.8835477832864599E-2</v>
      </c>
      <c r="HV76" s="8">
        <v>-3.5294778970354018E-2</v>
      </c>
      <c r="HW76" s="8">
        <v>0.11677850162525852</v>
      </c>
      <c r="HX76" s="8">
        <v>9.2485493508116468E-2</v>
      </c>
      <c r="HY76" s="8">
        <v>2.87410322684504E-2</v>
      </c>
      <c r="HZ76" s="8">
        <v>-4.2713415993333448E-2</v>
      </c>
      <c r="IA76" s="8">
        <v>9.0183500762517022E-2</v>
      </c>
      <c r="IB76" s="8">
        <v>7.1831131385297065E-3</v>
      </c>
      <c r="IC76" s="8">
        <v>-5.7250671563188554E-2</v>
      </c>
      <c r="ID76" s="8">
        <v>1.4574989628304585E-2</v>
      </c>
      <c r="IE76" s="8">
        <v>9.6935367948115386E-2</v>
      </c>
      <c r="IF76" s="8">
        <v>7.9860372246528699E-2</v>
      </c>
      <c r="IG76" s="8">
        <v>6.2778593043201297E-2</v>
      </c>
      <c r="IH76" s="8">
        <v>-0.12432003634555455</v>
      </c>
      <c r="II76" s="8">
        <v>0.12354506252002156</v>
      </c>
      <c r="IJ76" s="8">
        <v>-8.4085065271768955E-3</v>
      </c>
      <c r="IK76" s="8">
        <v>0.10188287557796571</v>
      </c>
      <c r="IL76" s="8">
        <v>2.4668578133567931E-2</v>
      </c>
      <c r="IM76" s="8">
        <v>-4.510846548672548E-2</v>
      </c>
      <c r="IN76" s="8">
        <v>-1.4252974375938532E-2</v>
      </c>
      <c r="IO76" s="8">
        <v>-7.7072906922447726E-2</v>
      </c>
      <c r="IP76" s="8">
        <v>-4.9435224826822333E-3</v>
      </c>
      <c r="IQ76" s="8">
        <v>-4.6653171328875254E-2</v>
      </c>
      <c r="IR76" s="8">
        <v>-3.9154460871927282E-2</v>
      </c>
      <c r="IS76" s="8">
        <v>-6.7863926907769878E-2</v>
      </c>
      <c r="IT76" s="8">
        <v>3.0905519260361086E-2</v>
      </c>
    </row>
    <row r="77" spans="1:254" s="11" customFormat="1" x14ac:dyDescent="0.2">
      <c r="A77" s="10"/>
      <c r="B77" s="12">
        <v>6</v>
      </c>
      <c r="C77" s="2">
        <f t="shared" si="43"/>
        <v>2.2642757902275223E-2</v>
      </c>
      <c r="D77" s="3">
        <f t="shared" si="44"/>
        <v>6.3902375615105367E-2</v>
      </c>
      <c r="E77" s="8">
        <v>-6.4519076240789619E-2</v>
      </c>
      <c r="F77" s="8">
        <v>3.960355199148724E-2</v>
      </c>
      <c r="G77" s="8">
        <v>5.5227088637099353E-2</v>
      </c>
      <c r="H77" s="8">
        <v>-1.4172341428483504E-2</v>
      </c>
      <c r="I77" s="8">
        <v>-4.8475830543308812E-2</v>
      </c>
      <c r="J77" s="8">
        <v>4.229648025028665E-2</v>
      </c>
      <c r="K77" s="8">
        <v>2.2392220681077907E-2</v>
      </c>
      <c r="L77" s="8">
        <v>0.12895576569198908</v>
      </c>
      <c r="M77" s="8">
        <v>-1.262331597184968E-2</v>
      </c>
      <c r="N77" s="8">
        <v>1.3892244690700245E-2</v>
      </c>
      <c r="O77" s="8">
        <v>-1.8643749899777684E-2</v>
      </c>
      <c r="P77" s="8">
        <v>-9.0697367969796439E-3</v>
      </c>
      <c r="Q77" s="8">
        <v>-2.9651925868453083E-2</v>
      </c>
      <c r="R77" s="8">
        <v>9.9850781355195206E-3</v>
      </c>
      <c r="S77" s="8">
        <v>2.1911735904296709E-2</v>
      </c>
      <c r="T77" s="8">
        <v>-3.7782709262877995E-2</v>
      </c>
      <c r="U77" s="8">
        <v>6.7640726238822058E-3</v>
      </c>
      <c r="V77" s="8">
        <v>-2.1433264483685682E-2</v>
      </c>
      <c r="W77" s="8">
        <v>2.1888336001517739E-2</v>
      </c>
      <c r="X77" s="8">
        <v>-5.6018114188188167E-2</v>
      </c>
      <c r="Y77" s="8">
        <v>-0.13332258707292693</v>
      </c>
      <c r="Z77" s="8">
        <v>-2.0450313533105779E-2</v>
      </c>
      <c r="AA77" s="8">
        <v>-9.2706534036683108E-2</v>
      </c>
      <c r="AB77" s="8">
        <v>3.5341007196943469E-2</v>
      </c>
      <c r="AC77" s="8">
        <v>2.2024138754956429E-2</v>
      </c>
      <c r="AD77" s="8">
        <v>2.7637506564466424E-2</v>
      </c>
      <c r="AE77" s="8">
        <v>1.3140021806072655E-2</v>
      </c>
      <c r="AF77" s="8">
        <v>-8.3679022696217742E-2</v>
      </c>
      <c r="AG77" s="8">
        <v>-4.7374038556653453E-3</v>
      </c>
      <c r="AH77" s="8">
        <v>-5.2725913287170051E-2</v>
      </c>
      <c r="AI77" s="8">
        <v>-2.6024856542212871E-2</v>
      </c>
      <c r="AJ77" s="8">
        <v>3.2429581320026268E-2</v>
      </c>
      <c r="AK77" s="8">
        <v>-7.7531033214156775E-2</v>
      </c>
      <c r="AL77" s="8">
        <v>-2.9671491989922832E-2</v>
      </c>
      <c r="AM77" s="8">
        <v>7.2392255196625871E-2</v>
      </c>
      <c r="AN77" s="8">
        <v>4.529825940964316E-2</v>
      </c>
      <c r="AO77" s="8">
        <v>5.5243700427880127E-2</v>
      </c>
      <c r="AP77" s="8">
        <v>5.8046011308125645E-2</v>
      </c>
      <c r="AQ77" s="8">
        <v>-9.0997645439874042E-2</v>
      </c>
      <c r="AR77" s="8">
        <v>4.1616150869348389E-2</v>
      </c>
      <c r="AS77" s="8">
        <v>-1.0913702209756071E-3</v>
      </c>
      <c r="AT77" s="8">
        <v>2.2841909740307309E-2</v>
      </c>
      <c r="AU77" s="8">
        <v>-2.2243970261878743E-2</v>
      </c>
      <c r="AV77" s="8">
        <v>0.14139301195245615</v>
      </c>
      <c r="AW77" s="8">
        <v>1.559253177961184E-3</v>
      </c>
      <c r="AX77" s="8">
        <v>-5.2649716694425169E-2</v>
      </c>
      <c r="AY77" s="8">
        <v>6.041790393112037E-2</v>
      </c>
      <c r="AZ77" s="8">
        <v>-0.14015461360396564</v>
      </c>
      <c r="BA77" s="8">
        <v>-0.11729786055015126</v>
      </c>
      <c r="BB77" s="8">
        <v>-4.9295189020880925E-3</v>
      </c>
      <c r="BC77" s="8">
        <v>-2.5280509274744317E-2</v>
      </c>
      <c r="BD77" s="8">
        <v>-5.5789899438542873E-2</v>
      </c>
      <c r="BE77" s="8">
        <v>4.1656162062893909E-2</v>
      </c>
      <c r="BF77" s="8">
        <v>5.314860066489524E-2</v>
      </c>
      <c r="BG77" s="8">
        <v>2.4036180410604652E-2</v>
      </c>
      <c r="BH77" s="8">
        <v>-9.3950086894899504E-2</v>
      </c>
      <c r="BI77" s="8">
        <v>2.1304076546737299E-2</v>
      </c>
      <c r="BJ77" s="8">
        <v>4.244416875275675E-2</v>
      </c>
      <c r="BK77" s="8">
        <v>1.3883890251999431E-2</v>
      </c>
      <c r="BL77" s="8">
        <v>6.3902375615105367E-2</v>
      </c>
      <c r="BM77" s="8">
        <v>2.5934868834431773E-2</v>
      </c>
      <c r="BN77" s="8">
        <v>3.8320074695497031E-2</v>
      </c>
      <c r="BO77" s="8">
        <v>-4.0781914653239215E-2</v>
      </c>
      <c r="BP77" s="8">
        <v>-4.887344996335713E-2</v>
      </c>
      <c r="BQ77" s="8">
        <v>0.11505225517936346</v>
      </c>
      <c r="BR77" s="8">
        <v>2.8485267226657479E-2</v>
      </c>
      <c r="BS77" s="8">
        <v>4.8760068512962856E-2</v>
      </c>
      <c r="BT77" s="8">
        <v>-6.3230278059710043E-2</v>
      </c>
      <c r="BU77" s="8">
        <v>3.8575846231456906E-2</v>
      </c>
      <c r="BV77" s="8">
        <v>-1.8078771042535607E-2</v>
      </c>
      <c r="BW77" s="8">
        <v>3.0940394120121922E-2</v>
      </c>
      <c r="BX77" s="8">
        <v>-0.13698135775130188</v>
      </c>
      <c r="BY77" s="8">
        <v>2.2228803129463459E-2</v>
      </c>
      <c r="BZ77" s="8">
        <v>-4.3191823529505124E-2</v>
      </c>
      <c r="CA77" s="8">
        <v>-0.12679821961497803</v>
      </c>
      <c r="CB77" s="8">
        <v>2.3293922653834731E-2</v>
      </c>
      <c r="CC77" s="8">
        <v>5.6897631578656682E-2</v>
      </c>
      <c r="CD77" s="8">
        <v>7.0470405931994384E-2</v>
      </c>
      <c r="CE77" s="8">
        <v>1.0780537177969618E-2</v>
      </c>
      <c r="CF77" s="8">
        <v>3.4974024203394627E-2</v>
      </c>
      <c r="CG77" s="8">
        <v>7.0817794362813574E-2</v>
      </c>
      <c r="CH77" s="8">
        <v>4.5480722417284125E-2</v>
      </c>
      <c r="CI77" s="8">
        <v>-4.5626683665407897E-2</v>
      </c>
      <c r="CJ77" s="8">
        <v>-4.3836608362969653E-2</v>
      </c>
      <c r="CK77" s="8">
        <v>-8.3990282816338302E-3</v>
      </c>
      <c r="CL77" s="8">
        <v>-4.5352522690163904E-2</v>
      </c>
      <c r="CM77" s="8">
        <v>0.10212313201099996</v>
      </c>
      <c r="CN77" s="8">
        <v>4.0650646354075254E-2</v>
      </c>
      <c r="CO77" s="8">
        <v>4.0213112440454751E-2</v>
      </c>
      <c r="CP77" s="8">
        <v>5.6780989092458073E-2</v>
      </c>
      <c r="CQ77" s="8">
        <v>6.9622656472274058E-2</v>
      </c>
      <c r="CR77" s="8">
        <v>4.0843079370387447E-2</v>
      </c>
      <c r="CS77" s="8">
        <v>-3.670813641282869E-2</v>
      </c>
      <c r="CT77" s="8">
        <v>-2.6832806400518494E-2</v>
      </c>
      <c r="CU77" s="8">
        <v>2.8370837507023877E-2</v>
      </c>
      <c r="CV77" s="8">
        <v>-1.0317037359517167E-2</v>
      </c>
      <c r="CW77" s="8">
        <v>-4.0080979368147029E-2</v>
      </c>
      <c r="CX77" s="8">
        <v>-4.6387556802307439E-2</v>
      </c>
      <c r="CY77" s="8">
        <v>3.6066290018077402E-2</v>
      </c>
      <c r="CZ77" s="8">
        <v>9.6985479307977518E-2</v>
      </c>
      <c r="DA77" s="8">
        <v>5.7004420816991808E-2</v>
      </c>
      <c r="DB77" s="8">
        <v>-5.641786477049468E-2</v>
      </c>
      <c r="DC77" s="8">
        <v>3.7608248666906402E-2</v>
      </c>
      <c r="DD77" s="8">
        <v>-3.4676603382339521E-2</v>
      </c>
      <c r="DE77" s="8">
        <v>-5.7766944365103629E-2</v>
      </c>
      <c r="DF77" s="8">
        <v>9.6082156118163953E-2</v>
      </c>
      <c r="DG77" s="8">
        <v>-8.592574382809634E-2</v>
      </c>
      <c r="DH77" s="8">
        <v>-4.7196712505606087E-2</v>
      </c>
      <c r="DI77" s="8">
        <v>-4.1646344723775819E-3</v>
      </c>
      <c r="DJ77" s="8">
        <v>2.4511662925031708E-2</v>
      </c>
      <c r="DK77" s="8">
        <v>2.1514404407317361E-2</v>
      </c>
      <c r="DL77" s="8">
        <v>3.2883946342606635E-2</v>
      </c>
      <c r="DM77" s="8">
        <v>-9.2163961708800923E-2</v>
      </c>
      <c r="DN77" s="8">
        <v>5.7773115139325815E-2</v>
      </c>
      <c r="DO77" s="8">
        <v>-7.3307651148116881E-2</v>
      </c>
      <c r="DP77" s="8">
        <v>2.7632631951400866E-3</v>
      </c>
      <c r="DQ77" s="8">
        <v>4.0029633808762538E-2</v>
      </c>
      <c r="DR77" s="8">
        <v>-5.5125814682291108E-3</v>
      </c>
      <c r="DS77" s="8">
        <v>-5.8265964217546484E-3</v>
      </c>
      <c r="DT77" s="8">
        <v>-2.7634783273784547E-2</v>
      </c>
      <c r="DU77" s="8">
        <v>-2.2774418889701109E-2</v>
      </c>
      <c r="DV77" s="8">
        <v>6.7804254348260484E-2</v>
      </c>
      <c r="DW77" s="8">
        <v>-3.3797775728957952E-2</v>
      </c>
      <c r="DX77" s="8">
        <v>5.2591693483281493E-2</v>
      </c>
      <c r="DY77" s="8">
        <v>-8.9617271935370474E-2</v>
      </c>
      <c r="DZ77" s="8">
        <v>-7.9547439743394649E-2</v>
      </c>
      <c r="EA77" s="8">
        <v>4.8353930245981502E-2</v>
      </c>
      <c r="EB77" s="8">
        <v>3.7797410820883781E-2</v>
      </c>
      <c r="EC77" s="8">
        <v>1.9138051251819888E-2</v>
      </c>
      <c r="ED77" s="8">
        <v>5.8003440091564662E-3</v>
      </c>
      <c r="EE77" s="8">
        <v>-5.3457750170390672E-2</v>
      </c>
      <c r="EF77" s="8">
        <v>1.4090592573393623E-3</v>
      </c>
      <c r="EG77" s="8">
        <v>-4.277854519363844E-2</v>
      </c>
      <c r="EH77" s="8">
        <v>-2.6858378325830046E-2</v>
      </c>
      <c r="EI77" s="8">
        <v>-0.11292974731482186</v>
      </c>
      <c r="EJ77" s="8">
        <v>-3.8319854574734302E-3</v>
      </c>
      <c r="EK77" s="8">
        <v>-3.8879513032488378E-2</v>
      </c>
      <c r="EL77" s="8">
        <v>2.5073081964600119E-2</v>
      </c>
      <c r="EM77" s="8">
        <v>-3.3328744023192192E-2</v>
      </c>
      <c r="EN77" s="8">
        <v>-1.8165372388775997E-2</v>
      </c>
      <c r="EO77" s="8">
        <v>4.6214705962411007E-2</v>
      </c>
      <c r="EP77" s="8">
        <v>3.298913869661696E-2</v>
      </c>
      <c r="EQ77" s="8">
        <v>9.9658706858290119E-2</v>
      </c>
      <c r="ER77" s="8">
        <v>-5.5627682415365892E-2</v>
      </c>
      <c r="ES77" s="8">
        <v>8.0243532069921852E-2</v>
      </c>
      <c r="ET77" s="8">
        <v>6.1427689453910084E-2</v>
      </c>
      <c r="EU77" s="8">
        <v>1.5562741009890801E-2</v>
      </c>
      <c r="EV77" s="8">
        <v>-3.4391750330102999E-2</v>
      </c>
      <c r="EW77" s="8">
        <v>1.9280306229754157E-2</v>
      </c>
      <c r="EX77" s="8">
        <v>2.8426449802914366E-2</v>
      </c>
      <c r="EY77" s="8">
        <v>4.3271683787050874E-3</v>
      </c>
      <c r="EZ77" s="8">
        <v>-1.5621503607801096E-2</v>
      </c>
      <c r="FA77" s="8">
        <v>-6.3759264009290495E-2</v>
      </c>
      <c r="FB77" s="8">
        <v>2.4271149296152372E-2</v>
      </c>
      <c r="FC77" s="8">
        <v>-9.7936588233929145E-2</v>
      </c>
      <c r="FD77" s="8">
        <v>1.5007627786662453E-2</v>
      </c>
      <c r="FE77" s="8">
        <v>-2.0703577536689943E-2</v>
      </c>
      <c r="FF77" s="8">
        <v>3.0191093154270737E-2</v>
      </c>
      <c r="FG77" s="8">
        <v>-2.842868897925771E-2</v>
      </c>
      <c r="FH77" s="8">
        <v>5.789759174749054E-2</v>
      </c>
      <c r="FI77" s="8">
        <v>-1.5769917900219976E-2</v>
      </c>
      <c r="FJ77" s="8">
        <v>3.276481978257062E-2</v>
      </c>
      <c r="FK77" s="8">
        <v>-2.7580211005504646E-2</v>
      </c>
      <c r="FL77" s="8">
        <v>-1.3146402553583125E-2</v>
      </c>
      <c r="FM77" s="8">
        <v>9.6836870260386981E-2</v>
      </c>
      <c r="FN77" s="8">
        <v>-0.10389517410668112</v>
      </c>
      <c r="FO77" s="8">
        <v>4.3519255347369473E-2</v>
      </c>
      <c r="FP77" s="8">
        <v>-5.6598702552323743E-3</v>
      </c>
      <c r="FQ77" s="8">
        <v>-7.8658811264977369E-2</v>
      </c>
      <c r="FR77" s="8">
        <v>-3.6103746484380306E-2</v>
      </c>
      <c r="FS77" s="8">
        <v>4.239191781290233E-2</v>
      </c>
      <c r="FT77" s="8">
        <v>-3.9174608417685941E-2</v>
      </c>
      <c r="FU77" s="8">
        <v>-2.98285139847832E-2</v>
      </c>
      <c r="FV77" s="8">
        <v>-2.5115708562134603E-2</v>
      </c>
      <c r="FW77" s="8">
        <v>5.9301064500808132E-2</v>
      </c>
      <c r="FX77" s="8">
        <v>-6.0813925069637481E-2</v>
      </c>
      <c r="FY77" s="8">
        <v>-5.2001700783718685E-3</v>
      </c>
      <c r="FZ77" s="8">
        <v>-6.6019447603592435E-2</v>
      </c>
      <c r="GA77" s="8">
        <v>-3.4993376981394958E-2</v>
      </c>
      <c r="GB77" s="8">
        <v>3.0765351883759062E-2</v>
      </c>
      <c r="GC77" s="8">
        <v>-1.6545037897932546E-2</v>
      </c>
      <c r="GD77" s="8">
        <v>-1.1749704028787972E-2</v>
      </c>
      <c r="GE77" s="8">
        <v>2.9089478283448655E-2</v>
      </c>
      <c r="GF77" s="8">
        <v>3.9769286142510629E-2</v>
      </c>
      <c r="GG77" s="8">
        <v>-8.4686192860541076E-2</v>
      </c>
      <c r="GH77" s="8">
        <v>-1.1131855940338803E-2</v>
      </c>
      <c r="GI77" s="8">
        <v>2.716450740655138E-2</v>
      </c>
      <c r="GJ77" s="8">
        <v>-8.8089879666313931E-2</v>
      </c>
      <c r="GK77" s="8">
        <v>3.2473986961628287E-2</v>
      </c>
      <c r="GL77" s="8">
        <v>-5.1380288032086607E-2</v>
      </c>
      <c r="GM77" s="8">
        <v>-2.4573456007877109E-2</v>
      </c>
      <c r="GN77" s="8">
        <v>-1.6476416215399303E-2</v>
      </c>
      <c r="GO77" s="8">
        <v>-1.8587004434478499E-2</v>
      </c>
      <c r="GP77" s="8">
        <v>9.0579300702892246E-2</v>
      </c>
      <c r="GQ77" s="8">
        <v>-5.7323096310279348E-2</v>
      </c>
      <c r="GR77" s="8">
        <v>5.7089540820538964E-2</v>
      </c>
      <c r="GS77" s="8">
        <v>3.8349279315882501E-2</v>
      </c>
      <c r="GT77" s="8">
        <v>-8.1058354834907753E-2</v>
      </c>
      <c r="GU77" s="8">
        <v>6.6730099597606118E-3</v>
      </c>
      <c r="GV77" s="8">
        <v>-5.2788238098961188E-2</v>
      </c>
      <c r="GW77" s="8">
        <v>-1.8282115401806992E-2</v>
      </c>
      <c r="GX77" s="8">
        <v>7.6943228935344443E-4</v>
      </c>
      <c r="GY77" s="8">
        <v>-2.9880556003693048E-2</v>
      </c>
      <c r="GZ77" s="8">
        <v>-9.8242856129451717E-2</v>
      </c>
      <c r="HA77" s="8">
        <v>-2.5278879732184623E-2</v>
      </c>
      <c r="HB77" s="8">
        <v>6.9569730909246924E-2</v>
      </c>
      <c r="HC77" s="8">
        <v>-3.8335355550921768E-2</v>
      </c>
      <c r="HD77" s="8">
        <v>-3.0619490685894757E-2</v>
      </c>
      <c r="HE77" s="8">
        <v>-6.8143030257356796E-2</v>
      </c>
      <c r="HF77" s="8">
        <v>-7.3378015339911451E-2</v>
      </c>
      <c r="HG77" s="8">
        <v>4.8682425301945081E-2</v>
      </c>
      <c r="HH77" s="8">
        <v>-3.4774872927765543E-3</v>
      </c>
      <c r="HI77" s="8">
        <v>-3.1283802146004958E-2</v>
      </c>
      <c r="HJ77" s="8">
        <v>-2.364012296501905E-2</v>
      </c>
      <c r="HK77" s="8">
        <v>1.2819025930271843E-4</v>
      </c>
      <c r="HL77" s="8">
        <v>8.452657127106239E-2</v>
      </c>
      <c r="HM77" s="8">
        <v>-4.4050691664289099E-3</v>
      </c>
      <c r="HN77" s="8">
        <v>0.11267232081067113</v>
      </c>
      <c r="HO77" s="8">
        <v>4.9516755420364655E-2</v>
      </c>
      <c r="HP77" s="8">
        <v>4.3760972710662621E-2</v>
      </c>
      <c r="HQ77" s="8">
        <v>-6.1549307536758552E-2</v>
      </c>
      <c r="HR77" s="8">
        <v>5.6116053849492642E-2</v>
      </c>
      <c r="HS77" s="8">
        <v>1.6167422842399942E-2</v>
      </c>
      <c r="HT77" s="8">
        <v>0.10973566489050388</v>
      </c>
      <c r="HU77" s="8">
        <v>5.9289093084276934E-2</v>
      </c>
      <c r="HV77" s="8">
        <v>-6.0984414035540335E-2</v>
      </c>
      <c r="HW77" s="8">
        <v>0.13760984330873291</v>
      </c>
      <c r="HX77" s="8">
        <v>8.285838116843755E-2</v>
      </c>
      <c r="HY77" s="8">
        <v>3.7092713926554832E-2</v>
      </c>
      <c r="HZ77" s="8">
        <v>-5.0472576209086073E-2</v>
      </c>
      <c r="IA77" s="8">
        <v>6.8302406221303097E-2</v>
      </c>
      <c r="IB77" s="8">
        <v>-8.1235668735755995E-3</v>
      </c>
      <c r="IC77" s="8">
        <v>-7.4717394396509373E-2</v>
      </c>
      <c r="ID77" s="8">
        <v>2.2063743080048825E-3</v>
      </c>
      <c r="IE77" s="8">
        <v>0.1095099022932427</v>
      </c>
      <c r="IF77" s="8">
        <v>5.9589207752938828E-2</v>
      </c>
      <c r="IG77" s="8">
        <v>4.7696979729257794E-2</v>
      </c>
      <c r="IH77" s="8">
        <v>-0.11357242210625088</v>
      </c>
      <c r="II77" s="8">
        <v>0.13775807525449643</v>
      </c>
      <c r="IJ77" s="8">
        <v>-4.2402351553684769E-3</v>
      </c>
      <c r="IK77" s="8">
        <v>8.0425122104786667E-2</v>
      </c>
      <c r="IL77" s="8">
        <v>6.6919745093929617E-6</v>
      </c>
      <c r="IM77" s="8">
        <v>-2.0476837343704674E-2</v>
      </c>
      <c r="IN77" s="8">
        <v>3.0258503077915666E-3</v>
      </c>
      <c r="IO77" s="8">
        <v>-7.1776293748908454E-2</v>
      </c>
      <c r="IP77" s="8">
        <v>5.9030356781361315E-3</v>
      </c>
      <c r="IQ77" s="8">
        <v>-5.3423439785901194E-2</v>
      </c>
      <c r="IR77" s="8">
        <v>-6.2299934227364268E-2</v>
      </c>
      <c r="IS77" s="8">
        <v>-5.7290990536515429E-2</v>
      </c>
      <c r="IT77" s="8">
        <v>4.2024432073344969E-2</v>
      </c>
    </row>
    <row r="78" spans="1:254" s="11" customFormat="1" x14ac:dyDescent="0.2">
      <c r="A78" s="10"/>
      <c r="B78" s="12">
        <v>6.25</v>
      </c>
      <c r="C78" s="2">
        <f t="shared" si="43"/>
        <v>2.0760563489722744E-2</v>
      </c>
      <c r="D78" s="3">
        <f t="shared" si="44"/>
        <v>6.3658662354435402E-2</v>
      </c>
      <c r="E78" s="8">
        <v>-4.787126940751818E-2</v>
      </c>
      <c r="F78" s="8">
        <v>2.7056259793644982E-2</v>
      </c>
      <c r="G78" s="8">
        <v>5.3122227845571218E-2</v>
      </c>
      <c r="H78" s="8">
        <v>-8.1150662409883723E-3</v>
      </c>
      <c r="I78" s="8">
        <v>-2.5830896000489739E-2</v>
      </c>
      <c r="J78" s="8">
        <v>3.9190786588615828E-2</v>
      </c>
      <c r="K78" s="8">
        <v>7.4494532451548634E-3</v>
      </c>
      <c r="L78" s="8">
        <v>0.10857155435234805</v>
      </c>
      <c r="M78" s="8">
        <v>-2.3771435076327674E-3</v>
      </c>
      <c r="N78" s="8">
        <v>2.2235740873607329E-2</v>
      </c>
      <c r="O78" s="8">
        <v>-2.39834261782777E-2</v>
      </c>
      <c r="P78" s="8">
        <v>7.9686483233468164E-4</v>
      </c>
      <c r="Q78" s="8">
        <v>-2.0777265651037879E-2</v>
      </c>
      <c r="R78" s="8">
        <v>7.5671482091698994E-3</v>
      </c>
      <c r="S78" s="8">
        <v>9.0056585623725649E-3</v>
      </c>
      <c r="T78" s="8">
        <v>-2.502102297408304E-2</v>
      </c>
      <c r="U78" s="8">
        <v>1.0480269726038549E-2</v>
      </c>
      <c r="V78" s="8">
        <v>-7.1007887342940945E-3</v>
      </c>
      <c r="W78" s="8">
        <v>-3.9302525624773377E-3</v>
      </c>
      <c r="X78" s="8">
        <v>-4.4200666859598725E-2</v>
      </c>
      <c r="Y78" s="8">
        <v>-0.11254989257817125</v>
      </c>
      <c r="Z78" s="8">
        <v>-1.8057957290153054E-2</v>
      </c>
      <c r="AA78" s="8">
        <v>-0.11320834861251916</v>
      </c>
      <c r="AB78" s="8">
        <v>2.275191891573014E-2</v>
      </c>
      <c r="AC78" s="8">
        <v>1.7597823352465181E-2</v>
      </c>
      <c r="AD78" s="8">
        <v>-4.32908467301929E-3</v>
      </c>
      <c r="AE78" s="8">
        <v>2.07906111767443E-2</v>
      </c>
      <c r="AF78" s="8">
        <v>-9.4876776229855547E-2</v>
      </c>
      <c r="AG78" s="8">
        <v>-1.1479746859974771E-2</v>
      </c>
      <c r="AH78" s="8">
        <v>-4.5037556458579237E-2</v>
      </c>
      <c r="AI78" s="8">
        <v>8.0976555988702126E-3</v>
      </c>
      <c r="AJ78" s="8">
        <v>5.2342665988694775E-2</v>
      </c>
      <c r="AK78" s="8">
        <v>-5.5434150061974607E-2</v>
      </c>
      <c r="AL78" s="8">
        <v>-1.7650665913270996E-2</v>
      </c>
      <c r="AM78" s="8">
        <v>5.8661405740499994E-2</v>
      </c>
      <c r="AN78" s="8">
        <v>2.6771109338504351E-2</v>
      </c>
      <c r="AO78" s="8">
        <v>2.9113061913918492E-2</v>
      </c>
      <c r="AP78" s="8">
        <v>5.1859956490975662E-2</v>
      </c>
      <c r="AQ78" s="8">
        <v>-0.10495222349929689</v>
      </c>
      <c r="AR78" s="8">
        <v>4.765068594340871E-2</v>
      </c>
      <c r="AS78" s="8">
        <v>-1.4966554171315399E-2</v>
      </c>
      <c r="AT78" s="8">
        <v>3.2339027223888678E-2</v>
      </c>
      <c r="AU78" s="8">
        <v>-8.1086625425907666E-3</v>
      </c>
      <c r="AV78" s="8">
        <v>0.15276023109181627</v>
      </c>
      <c r="AW78" s="8">
        <v>1.5337617694716532E-2</v>
      </c>
      <c r="AX78" s="8">
        <v>-6.875488152142728E-2</v>
      </c>
      <c r="AY78" s="8">
        <v>4.0859717744435059E-2</v>
      </c>
      <c r="AZ78" s="8">
        <v>-0.12614058352015681</v>
      </c>
      <c r="BA78" s="8">
        <v>-9.2478199566760733E-2</v>
      </c>
      <c r="BB78" s="8">
        <v>-2.9063023764156537E-2</v>
      </c>
      <c r="BC78" s="8">
        <v>1.1988008167123088E-3</v>
      </c>
      <c r="BD78" s="8">
        <v>-5.5492828528990013E-2</v>
      </c>
      <c r="BE78" s="8">
        <v>3.6436725620936639E-2</v>
      </c>
      <c r="BF78" s="8">
        <v>6.2399480180280409E-2</v>
      </c>
      <c r="BG78" s="8">
        <v>3.4554218450206842E-2</v>
      </c>
      <c r="BH78" s="8">
        <v>-9.0321600086484044E-2</v>
      </c>
      <c r="BI78" s="8">
        <v>2.4462341075855015E-2</v>
      </c>
      <c r="BJ78" s="8">
        <v>4.4963177107549351E-2</v>
      </c>
      <c r="BK78" s="8">
        <v>5.029469843480161E-2</v>
      </c>
      <c r="BL78" s="8">
        <v>6.7670863518018626E-2</v>
      </c>
      <c r="BM78" s="8">
        <v>1.0993579388721419E-2</v>
      </c>
      <c r="BN78" s="8">
        <v>1.0161828397445338E-2</v>
      </c>
      <c r="BO78" s="8">
        <v>-6.124520809337311E-2</v>
      </c>
      <c r="BP78" s="8">
        <v>-5.395373104586576E-2</v>
      </c>
      <c r="BQ78" s="8">
        <v>9.7773242342914068E-2</v>
      </c>
      <c r="BR78" s="8">
        <v>2.6737521065727743E-2</v>
      </c>
      <c r="BS78" s="8">
        <v>5.1009130053158575E-2</v>
      </c>
      <c r="BT78" s="8">
        <v>-2.9929578702238779E-2</v>
      </c>
      <c r="BU78" s="8">
        <v>6.4731514933309559E-2</v>
      </c>
      <c r="BV78" s="8">
        <v>-2.9863950061995381E-2</v>
      </c>
      <c r="BW78" s="8">
        <v>5.0411726916000432E-2</v>
      </c>
      <c r="BX78" s="8">
        <v>-0.11378353658608409</v>
      </c>
      <c r="BY78" s="8">
        <v>2.6377290306129675E-2</v>
      </c>
      <c r="BZ78" s="8">
        <v>-4.9820526414387806E-2</v>
      </c>
      <c r="CA78" s="8">
        <v>-0.10791496307959778</v>
      </c>
      <c r="CB78" s="8">
        <v>1.775555558894526E-2</v>
      </c>
      <c r="CC78" s="8">
        <v>5.5032810427301265E-2</v>
      </c>
      <c r="CD78" s="8">
        <v>7.5375421702132045E-2</v>
      </c>
      <c r="CE78" s="8">
        <v>1.0848422455213225E-2</v>
      </c>
      <c r="CF78" s="8">
        <v>4.075208320859014E-2</v>
      </c>
      <c r="CG78" s="8">
        <v>6.3339556107563338E-2</v>
      </c>
      <c r="CH78" s="8">
        <v>3.0607334964019794E-2</v>
      </c>
      <c r="CI78" s="8">
        <v>-4.4414469742358825E-2</v>
      </c>
      <c r="CJ78" s="8">
        <v>-4.7839527342969035E-2</v>
      </c>
      <c r="CK78" s="8">
        <v>-1.3167169689326186E-2</v>
      </c>
      <c r="CL78" s="8">
        <v>-6.5831957240819222E-2</v>
      </c>
      <c r="CM78" s="8">
        <v>8.4245506336741688E-2</v>
      </c>
      <c r="CN78" s="8">
        <v>2.1577887517487709E-2</v>
      </c>
      <c r="CO78" s="8">
        <v>2.2849684108804502E-2</v>
      </c>
      <c r="CP78" s="8">
        <v>4.4518716969808636E-2</v>
      </c>
      <c r="CQ78" s="8">
        <v>0.10767391809317589</v>
      </c>
      <c r="CR78" s="8">
        <v>3.3651300492254399E-2</v>
      </c>
      <c r="CS78" s="8">
        <v>-6.0963224185928588E-2</v>
      </c>
      <c r="CT78" s="8">
        <v>-6.793762029594641E-3</v>
      </c>
      <c r="CU78" s="8">
        <v>3.7628648713909418E-2</v>
      </c>
      <c r="CV78" s="8">
        <v>-3.3545762211658753E-2</v>
      </c>
      <c r="CW78" s="8">
        <v>-5.5957510028357138E-2</v>
      </c>
      <c r="CX78" s="8">
        <v>-4.3993911477410858E-2</v>
      </c>
      <c r="CY78" s="8">
        <v>3.6904401941713322E-2</v>
      </c>
      <c r="CZ78" s="8">
        <v>8.4163885270807648E-2</v>
      </c>
      <c r="DA78" s="8">
        <v>4.8451165831126908E-2</v>
      </c>
      <c r="DB78" s="8">
        <v>-6.7660264592960651E-2</v>
      </c>
      <c r="DC78" s="8">
        <v>4.4311184847647789E-2</v>
      </c>
      <c r="DD78" s="8">
        <v>-1.8303148873405423E-2</v>
      </c>
      <c r="DE78" s="8">
        <v>-5.1683322597246256E-2</v>
      </c>
      <c r="DF78" s="8">
        <v>7.791365149719956E-2</v>
      </c>
      <c r="DG78" s="8">
        <v>-0.10167377024429372</v>
      </c>
      <c r="DH78" s="8">
        <v>-3.8158195448443233E-2</v>
      </c>
      <c r="DI78" s="8">
        <v>-2.3273430500856229E-2</v>
      </c>
      <c r="DJ78" s="8">
        <v>-4.8691749739693257E-4</v>
      </c>
      <c r="DK78" s="8">
        <v>5.496155316670609E-3</v>
      </c>
      <c r="DL78" s="8">
        <v>3.0107574781504387E-2</v>
      </c>
      <c r="DM78" s="8">
        <v>-8.3122181522613303E-2</v>
      </c>
      <c r="DN78" s="8">
        <v>4.2288282718290576E-2</v>
      </c>
      <c r="DO78" s="8">
        <v>-8.7436410004531423E-2</v>
      </c>
      <c r="DP78" s="8">
        <v>1.0455849572889697E-2</v>
      </c>
      <c r="DQ78" s="8">
        <v>4.1916239334031852E-2</v>
      </c>
      <c r="DR78" s="8">
        <v>-1.5898770672934437E-2</v>
      </c>
      <c r="DS78" s="8">
        <v>1.4647236575779599E-2</v>
      </c>
      <c r="DT78" s="8">
        <v>-8.5485214730028902E-3</v>
      </c>
      <c r="DU78" s="8">
        <v>-6.5274978436646591E-3</v>
      </c>
      <c r="DV78" s="8">
        <v>6.031793364964011E-2</v>
      </c>
      <c r="DW78" s="8">
        <v>-2.7539461024085665E-2</v>
      </c>
      <c r="DX78" s="8">
        <v>3.3089855086832848E-2</v>
      </c>
      <c r="DY78" s="8">
        <v>-7.2127129440911708E-2</v>
      </c>
      <c r="DZ78" s="8">
        <v>-8.1778765854895852E-2</v>
      </c>
      <c r="EA78" s="8">
        <v>4.2308849792075776E-2</v>
      </c>
      <c r="EB78" s="8">
        <v>3.9075081670451511E-2</v>
      </c>
      <c r="EC78" s="8">
        <v>4.871914872518654E-2</v>
      </c>
      <c r="ED78" s="8">
        <v>-3.3136273545811279E-3</v>
      </c>
      <c r="EE78" s="8">
        <v>-5.1194232504563342E-2</v>
      </c>
      <c r="EF78" s="8">
        <v>1.1822242198706034E-3</v>
      </c>
      <c r="EG78" s="8">
        <v>-5.1856293719846985E-2</v>
      </c>
      <c r="EH78" s="8">
        <v>-2.1962911938416152E-2</v>
      </c>
      <c r="EI78" s="8">
        <v>-9.4852953279444929E-2</v>
      </c>
      <c r="EJ78" s="8">
        <v>-4.7303678384146841E-3</v>
      </c>
      <c r="EK78" s="8">
        <v>-2.5713818804858346E-2</v>
      </c>
      <c r="EL78" s="8">
        <v>1.0782055515812933E-2</v>
      </c>
      <c r="EM78" s="8">
        <v>-9.9531213448231515E-3</v>
      </c>
      <c r="EN78" s="8">
        <v>-3.1103000735068026E-2</v>
      </c>
      <c r="EO78" s="8">
        <v>1.0640810615688334E-2</v>
      </c>
      <c r="EP78" s="8">
        <v>2.6123684663756308E-2</v>
      </c>
      <c r="EQ78" s="8">
        <v>6.6012335461165889E-2</v>
      </c>
      <c r="ER78" s="8">
        <v>-5.6081838145401269E-2</v>
      </c>
      <c r="ES78" s="8">
        <v>0.10626602830930637</v>
      </c>
      <c r="ET78" s="8">
        <v>7.43361583995375E-2</v>
      </c>
      <c r="EU78" s="8">
        <v>2.7287317453806081E-2</v>
      </c>
      <c r="EV78" s="8">
        <v>-1.954195178443785E-2</v>
      </c>
      <c r="EW78" s="8">
        <v>2.2022263134975462E-2</v>
      </c>
      <c r="EX78" s="8">
        <v>2.4687111137956186E-2</v>
      </c>
      <c r="EY78" s="8">
        <v>-4.1715116049598211E-4</v>
      </c>
      <c r="EZ78" s="8">
        <v>-3.8032451480210477E-2</v>
      </c>
      <c r="FA78" s="8">
        <v>-5.9794016068010436E-2</v>
      </c>
      <c r="FB78" s="8">
        <v>1.7961165133655421E-2</v>
      </c>
      <c r="FC78" s="8">
        <v>-0.10219956909040276</v>
      </c>
      <c r="FD78" s="8">
        <v>2.3259999447997448E-2</v>
      </c>
      <c r="FE78" s="8">
        <v>-8.1242531860021838E-3</v>
      </c>
      <c r="FF78" s="8">
        <v>1.3327672422236314E-2</v>
      </c>
      <c r="FG78" s="8">
        <v>-1.573120598929989E-2</v>
      </c>
      <c r="FH78" s="8">
        <v>6.3658662354435402E-2</v>
      </c>
      <c r="FI78" s="8">
        <v>-1.8385386945145299E-2</v>
      </c>
      <c r="FJ78" s="8">
        <v>1.7294549741731724E-2</v>
      </c>
      <c r="FK78" s="8">
        <v>-1.4646096015082433E-2</v>
      </c>
      <c r="FL78" s="8">
        <v>-2.0200338604480117E-2</v>
      </c>
      <c r="FM78" s="8">
        <v>7.7223817947232626E-2</v>
      </c>
      <c r="FN78" s="8">
        <v>-8.8144169831099156E-2</v>
      </c>
      <c r="FO78" s="8">
        <v>4.0983775284615748E-2</v>
      </c>
      <c r="FP78" s="8">
        <v>5.0343737582319859E-3</v>
      </c>
      <c r="FQ78" s="8">
        <v>-6.1487061560151629E-2</v>
      </c>
      <c r="FR78" s="8">
        <v>-4.1409645263251332E-2</v>
      </c>
      <c r="FS78" s="8">
        <v>2.2674687830413515E-2</v>
      </c>
      <c r="FT78" s="8">
        <v>-3.4752679482511595E-2</v>
      </c>
      <c r="FU78" s="8">
        <v>-4.7539233716960283E-3</v>
      </c>
      <c r="FV78" s="8">
        <v>-3.8684331585101095E-2</v>
      </c>
      <c r="FW78" s="8">
        <v>5.0731002926928864E-2</v>
      </c>
      <c r="FX78" s="8">
        <v>-7.5634051854854362E-2</v>
      </c>
      <c r="FY78" s="8">
        <v>8.4346651238089709E-3</v>
      </c>
      <c r="FZ78" s="8">
        <v>-6.5373004709978672E-2</v>
      </c>
      <c r="GA78" s="8">
        <v>-3.9776154385266299E-2</v>
      </c>
      <c r="GB78" s="8">
        <v>1.5478781075166981E-2</v>
      </c>
      <c r="GC78" s="8">
        <v>-1.8118450334174169E-2</v>
      </c>
      <c r="GD78" s="8">
        <v>-2.2307119948709875E-2</v>
      </c>
      <c r="GE78" s="8">
        <v>3.1173303991157919E-2</v>
      </c>
      <c r="GF78" s="8">
        <v>3.9651858032104581E-2</v>
      </c>
      <c r="GG78" s="8">
        <v>-9.946632562073579E-2</v>
      </c>
      <c r="GH78" s="8">
        <v>-1.14984549946269E-2</v>
      </c>
      <c r="GI78" s="8">
        <v>-1.1846279888639483E-2</v>
      </c>
      <c r="GJ78" s="8">
        <v>-6.4231762722807034E-2</v>
      </c>
      <c r="GK78" s="8">
        <v>3.3332651916885614E-2</v>
      </c>
      <c r="GL78" s="8">
        <v>-2.327676066093573E-2</v>
      </c>
      <c r="GM78" s="8">
        <v>-1.7205751280978149E-2</v>
      </c>
      <c r="GN78" s="8">
        <v>-1.4686608272250573E-2</v>
      </c>
      <c r="GO78" s="8">
        <v>-2.2807638142212622E-2</v>
      </c>
      <c r="GP78" s="8">
        <v>0.10205901356541114</v>
      </c>
      <c r="GQ78" s="8">
        <v>-4.0634056465305574E-2</v>
      </c>
      <c r="GR78" s="8">
        <v>6.3272024754999767E-2</v>
      </c>
      <c r="GS78" s="8">
        <v>1.7501399598547296E-2</v>
      </c>
      <c r="GT78" s="8">
        <v>-9.5053492475189405E-2</v>
      </c>
      <c r="GU78" s="8">
        <v>-5.119494180758799E-3</v>
      </c>
      <c r="GV78" s="8">
        <v>-5.4591556708605549E-2</v>
      </c>
      <c r="GW78" s="8">
        <v>-2.873111760136704E-2</v>
      </c>
      <c r="GX78" s="8">
        <v>9.253701899137684E-3</v>
      </c>
      <c r="GY78" s="8">
        <v>-3.9237668414235399E-2</v>
      </c>
      <c r="GZ78" s="8">
        <v>-6.650037723538868E-2</v>
      </c>
      <c r="HA78" s="8">
        <v>-3.7534392484652401E-2</v>
      </c>
      <c r="HB78" s="8">
        <v>6.3390878396578199E-2</v>
      </c>
      <c r="HC78" s="8">
        <v>-4.1541261217761166E-2</v>
      </c>
      <c r="HD78" s="8">
        <v>-3.2495170944404711E-2</v>
      </c>
      <c r="HE78" s="8">
        <v>-7.0736932258642055E-2</v>
      </c>
      <c r="HF78" s="8">
        <v>-4.3319439104499563E-2</v>
      </c>
      <c r="HG78" s="8">
        <v>3.9637023758566869E-2</v>
      </c>
      <c r="HH78" s="8">
        <v>1.4007734823856227E-2</v>
      </c>
      <c r="HI78" s="8">
        <v>-1.089036409095151E-2</v>
      </c>
      <c r="HJ78" s="8">
        <v>-9.1383406403987011E-3</v>
      </c>
      <c r="HK78" s="8">
        <v>1.2292666151779708E-3</v>
      </c>
      <c r="HL78" s="8">
        <v>8.3212135310081703E-2</v>
      </c>
      <c r="HM78" s="8">
        <v>-9.8014998212369864E-3</v>
      </c>
      <c r="HN78" s="8">
        <v>0.10364164660917294</v>
      </c>
      <c r="HO78" s="8">
        <v>4.1083979169236756E-2</v>
      </c>
      <c r="HP78" s="8">
        <v>3.4605048758525103E-2</v>
      </c>
      <c r="HQ78" s="8">
        <v>-6.0145895720624787E-2</v>
      </c>
      <c r="HR78" s="8">
        <v>5.6958121837434511E-2</v>
      </c>
      <c r="HS78" s="8">
        <v>1.5877933851227405E-2</v>
      </c>
      <c r="HT78" s="8">
        <v>9.5355214441250502E-2</v>
      </c>
      <c r="HU78" s="8">
        <v>5.7834505266857961E-2</v>
      </c>
      <c r="HV78" s="8">
        <v>-2.798617254457067E-2</v>
      </c>
      <c r="HW78" s="8">
        <v>0.12597709590235631</v>
      </c>
      <c r="HX78" s="8">
        <v>6.4333631787469453E-2</v>
      </c>
      <c r="HY78" s="8">
        <v>3.5818479278737159E-2</v>
      </c>
      <c r="HZ78" s="8">
        <v>-6.1004188759902683E-2</v>
      </c>
      <c r="IA78" s="8">
        <v>6.6041903226793569E-2</v>
      </c>
      <c r="IB78" s="8">
        <v>2.9034774169556521E-3</v>
      </c>
      <c r="IC78" s="8">
        <v>-7.0191549340983206E-2</v>
      </c>
      <c r="ID78" s="8">
        <v>-4.8134859988580025E-4</v>
      </c>
      <c r="IE78" s="8">
        <v>7.6454896214222995E-2</v>
      </c>
      <c r="IF78" s="8">
        <v>7.094880718605126E-2</v>
      </c>
      <c r="IG78" s="8">
        <v>3.8330331364398396E-2</v>
      </c>
      <c r="IH78" s="8">
        <v>-0.11709601065120517</v>
      </c>
      <c r="II78" s="8">
        <v>0.10443554635790486</v>
      </c>
      <c r="IJ78" s="8">
        <v>1.4189650826182454E-2</v>
      </c>
      <c r="IK78" s="8">
        <v>7.3224066829645468E-2</v>
      </c>
      <c r="IL78" s="8">
        <v>-1.3328225437960667E-2</v>
      </c>
      <c r="IM78" s="8">
        <v>-3.0193504078589894E-2</v>
      </c>
      <c r="IN78" s="8">
        <v>-8.8178337426350617E-4</v>
      </c>
      <c r="IO78" s="8">
        <v>-7.8074561188950398E-2</v>
      </c>
      <c r="IP78" s="8">
        <v>3.3248529696163764E-3</v>
      </c>
      <c r="IQ78" s="8">
        <v>-6.3993216632972277E-2</v>
      </c>
      <c r="IR78" s="8">
        <v>-5.3157106056250292E-2</v>
      </c>
      <c r="IS78" s="8">
        <v>-3.1420157904924417E-2</v>
      </c>
      <c r="IT78" s="8">
        <v>5.7068614366720838E-2</v>
      </c>
    </row>
    <row r="79" spans="1:254" s="11" customFormat="1" x14ac:dyDescent="0.2">
      <c r="A79" s="10"/>
      <c r="B79" s="12">
        <v>6.5</v>
      </c>
      <c r="C79" s="2">
        <f t="shared" si="43"/>
        <v>1.9629290599774314E-2</v>
      </c>
      <c r="D79" s="3">
        <f t="shared" si="44"/>
        <v>5.9968016439595151E-2</v>
      </c>
      <c r="E79" s="8">
        <v>-4.4820076582048646E-2</v>
      </c>
      <c r="F79" s="8">
        <v>3.6326321972899117E-2</v>
      </c>
      <c r="G79" s="8">
        <v>4.3055560224841971E-2</v>
      </c>
      <c r="H79" s="8">
        <v>-1.8518162032495178E-2</v>
      </c>
      <c r="I79" s="8">
        <v>-1.7615313473232197E-2</v>
      </c>
      <c r="J79" s="8">
        <v>6.2196904646020956E-2</v>
      </c>
      <c r="K79" s="8">
        <v>2.8760995645745052E-2</v>
      </c>
      <c r="L79" s="8">
        <v>0.10556353418709694</v>
      </c>
      <c r="M79" s="8">
        <v>2.1946336190142857E-3</v>
      </c>
      <c r="N79" s="8">
        <v>3.0639715562635395E-2</v>
      </c>
      <c r="O79" s="8">
        <v>-2.3838496804625187E-2</v>
      </c>
      <c r="P79" s="8">
        <v>-1.3147728778055978E-3</v>
      </c>
      <c r="Q79" s="8">
        <v>-4.0550355330407878E-2</v>
      </c>
      <c r="R79" s="8">
        <v>9.897251682829844E-3</v>
      </c>
      <c r="S79" s="8">
        <v>-1.1824805546236661E-3</v>
      </c>
      <c r="T79" s="8">
        <v>3.6500543682592701E-3</v>
      </c>
      <c r="U79" s="8">
        <v>3.0744432642205222E-2</v>
      </c>
      <c r="V79" s="8">
        <v>-3.7678264185291993E-2</v>
      </c>
      <c r="W79" s="8">
        <v>-5.3617945108035969E-3</v>
      </c>
      <c r="X79" s="8">
        <v>-5.3226503567632144E-2</v>
      </c>
      <c r="Y79" s="8">
        <v>-7.9146170945582961E-2</v>
      </c>
      <c r="Z79" s="8">
        <v>-1.1307295461608552E-2</v>
      </c>
      <c r="AA79" s="8">
        <v>-0.11737682610135264</v>
      </c>
      <c r="AB79" s="8">
        <v>1.2452745029845752E-2</v>
      </c>
      <c r="AC79" s="8">
        <v>2.8810937555107025E-2</v>
      </c>
      <c r="AD79" s="8">
        <v>-3.8518303108065033E-2</v>
      </c>
      <c r="AE79" s="8">
        <v>2.0640199141784665E-2</v>
      </c>
      <c r="AF79" s="8">
        <v>-8.6580255877785173E-2</v>
      </c>
      <c r="AG79" s="8">
        <v>-2.2462252687364237E-2</v>
      </c>
      <c r="AH79" s="8">
        <v>-1.5744619177572472E-2</v>
      </c>
      <c r="AI79" s="8">
        <v>5.6450985316549573E-3</v>
      </c>
      <c r="AJ79" s="8">
        <v>6.8635683969181099E-2</v>
      </c>
      <c r="AK79" s="8">
        <v>-5.75133302746893E-2</v>
      </c>
      <c r="AL79" s="8">
        <v>-1.4050676600776413E-2</v>
      </c>
      <c r="AM79" s="8">
        <v>7.4408873552061411E-2</v>
      </c>
      <c r="AN79" s="8">
        <v>3.5813239554823406E-2</v>
      </c>
      <c r="AO79" s="8">
        <v>2.8437626438523655E-2</v>
      </c>
      <c r="AP79" s="8">
        <v>5.4295861291635272E-2</v>
      </c>
      <c r="AQ79" s="8">
        <v>-0.11541665216985275</v>
      </c>
      <c r="AR79" s="8">
        <v>4.8193174567829511E-2</v>
      </c>
      <c r="AS79" s="8">
        <v>-1.91349035714313E-2</v>
      </c>
      <c r="AT79" s="8">
        <v>1.738305214950997E-2</v>
      </c>
      <c r="AU79" s="8">
        <v>1.1155535903368263E-3</v>
      </c>
      <c r="AV79" s="8">
        <v>0.1465308191023168</v>
      </c>
      <c r="AW79" s="8">
        <v>1.4789076380691935E-2</v>
      </c>
      <c r="AX79" s="8">
        <v>-4.872717499839363E-2</v>
      </c>
      <c r="AY79" s="8">
        <v>5.9968016439595151E-2</v>
      </c>
      <c r="AZ79" s="8">
        <v>-0.13236451954881795</v>
      </c>
      <c r="BA79" s="8">
        <v>-7.1690389136758348E-2</v>
      </c>
      <c r="BB79" s="8">
        <v>-5.0940834347321773E-2</v>
      </c>
      <c r="BC79" s="8">
        <v>-2.073193583973712E-2</v>
      </c>
      <c r="BD79" s="8">
        <v>-4.1683063561745753E-2</v>
      </c>
      <c r="BE79" s="8">
        <v>2.9824841931644447E-2</v>
      </c>
      <c r="BF79" s="8">
        <v>7.5190376084822486E-2</v>
      </c>
      <c r="BG79" s="8">
        <v>1.3757658867614653E-2</v>
      </c>
      <c r="BH79" s="8">
        <v>-8.7063515530413443E-2</v>
      </c>
      <c r="BI79" s="8">
        <v>1.2962490063815446E-2</v>
      </c>
      <c r="BJ79" s="8">
        <v>5.4691497096166941E-2</v>
      </c>
      <c r="BK79" s="8">
        <v>4.3764477621192233E-2</v>
      </c>
      <c r="BL79" s="8">
        <v>7.8639901596001843E-2</v>
      </c>
      <c r="BM79" s="8">
        <v>1.4990365324699023E-2</v>
      </c>
      <c r="BN79" s="8">
        <v>1.0758075585006882E-2</v>
      </c>
      <c r="BO79" s="8">
        <v>-4.8908151513005871E-2</v>
      </c>
      <c r="BP79" s="8">
        <v>-5.3948040258915086E-2</v>
      </c>
      <c r="BQ79" s="8">
        <v>9.8813249557150096E-2</v>
      </c>
      <c r="BR79" s="8">
        <v>1.598643037547498E-2</v>
      </c>
      <c r="BS79" s="8">
        <v>3.3128505332612662E-2</v>
      </c>
      <c r="BT79" s="8">
        <v>-2.4445892362031763E-2</v>
      </c>
      <c r="BU79" s="8">
        <v>5.2877638760213119E-2</v>
      </c>
      <c r="BV79" s="8">
        <v>-3.4561179323817054E-2</v>
      </c>
      <c r="BW79" s="8">
        <v>4.3058773096216085E-2</v>
      </c>
      <c r="BX79" s="8">
        <v>-9.0932107370293114E-2</v>
      </c>
      <c r="BY79" s="8">
        <v>1.1040859683016324E-2</v>
      </c>
      <c r="BZ79" s="8">
        <v>-3.3815647920107633E-2</v>
      </c>
      <c r="CA79" s="8">
        <v>-0.10759402251833133</v>
      </c>
      <c r="CB79" s="8">
        <v>8.0646965153927108E-3</v>
      </c>
      <c r="CC79" s="8">
        <v>5.7819359647583807E-2</v>
      </c>
      <c r="CD79" s="8">
        <v>5.8362754315432197E-2</v>
      </c>
      <c r="CE79" s="8">
        <v>1.4729873900918122E-2</v>
      </c>
      <c r="CF79" s="8">
        <v>5.2943033714517029E-4</v>
      </c>
      <c r="CG79" s="8">
        <v>6.1593054393390384E-2</v>
      </c>
      <c r="CH79" s="8">
        <v>3.7273225685630074E-2</v>
      </c>
      <c r="CI79" s="8">
        <v>-4.9081313396844961E-2</v>
      </c>
      <c r="CJ79" s="8">
        <v>-1.8403295599027425E-2</v>
      </c>
      <c r="CK79" s="8">
        <v>-2.7807979079967238E-2</v>
      </c>
      <c r="CL79" s="8">
        <v>-6.3395492871376746E-2</v>
      </c>
      <c r="CM79" s="8">
        <v>8.7585061344490456E-2</v>
      </c>
      <c r="CN79" s="8">
        <v>2.1585693202323675E-3</v>
      </c>
      <c r="CO79" s="8">
        <v>2.4856158311579057E-2</v>
      </c>
      <c r="CP79" s="8">
        <v>4.4506319748171791E-2</v>
      </c>
      <c r="CQ79" s="8">
        <v>0.13595867050007593</v>
      </c>
      <c r="CR79" s="8">
        <v>2.7454703571547556E-2</v>
      </c>
      <c r="CS79" s="8">
        <v>-6.8617377730588458E-2</v>
      </c>
      <c r="CT79" s="8">
        <v>-2.1419441227299385E-2</v>
      </c>
      <c r="CU79" s="8">
        <v>3.5324040326433354E-2</v>
      </c>
      <c r="CV79" s="8">
        <v>-1.6315983457128064E-2</v>
      </c>
      <c r="CW79" s="8">
        <v>-3.986932466399204E-2</v>
      </c>
      <c r="CX79" s="8">
        <v>-3.6439392383711938E-2</v>
      </c>
      <c r="CY79" s="8">
        <v>4.592994074128906E-2</v>
      </c>
      <c r="CZ79" s="8">
        <v>0.10498406992425091</v>
      </c>
      <c r="DA79" s="8">
        <v>3.7636166072251648E-2</v>
      </c>
      <c r="DB79" s="8">
        <v>-6.5376622784680982E-2</v>
      </c>
      <c r="DC79" s="8">
        <v>4.0737933142452221E-2</v>
      </c>
      <c r="DD79" s="8">
        <v>-2.8013207548130525E-2</v>
      </c>
      <c r="DE79" s="8">
        <v>-6.2832030800968386E-2</v>
      </c>
      <c r="DF79" s="8">
        <v>9.7270735407690045E-2</v>
      </c>
      <c r="DG79" s="8">
        <v>-0.11307181345556114</v>
      </c>
      <c r="DH79" s="8">
        <v>-2.5667832428114684E-2</v>
      </c>
      <c r="DI79" s="8">
        <v>-2.0086623698822637E-2</v>
      </c>
      <c r="DJ79" s="8">
        <v>-7.3645481779219535E-3</v>
      </c>
      <c r="DK79" s="8">
        <v>-1.5397575760521809E-3</v>
      </c>
      <c r="DL79" s="8">
        <v>2.8749508642800681E-2</v>
      </c>
      <c r="DM79" s="8">
        <v>-7.0206202352676522E-2</v>
      </c>
      <c r="DN79" s="8">
        <v>3.6939379466657873E-2</v>
      </c>
      <c r="DO79" s="8">
        <v>-7.3711609941437772E-2</v>
      </c>
      <c r="DP79" s="8">
        <v>-9.1868704516485933E-3</v>
      </c>
      <c r="DQ79" s="8">
        <v>2.1519161014649901E-2</v>
      </c>
      <c r="DR79" s="8">
        <v>-3.7695915981901862E-2</v>
      </c>
      <c r="DS79" s="8">
        <v>2.2040605123087559E-2</v>
      </c>
      <c r="DT79" s="8">
        <v>-2.0098484735826844E-2</v>
      </c>
      <c r="DU79" s="8">
        <v>-1.0324554291203991E-2</v>
      </c>
      <c r="DV79" s="8">
        <v>6.8380695788930052E-2</v>
      </c>
      <c r="DW79" s="8">
        <v>-2.664204980008375E-2</v>
      </c>
      <c r="DX79" s="8">
        <v>2.0632829150400989E-2</v>
      </c>
      <c r="DY79" s="8">
        <v>-5.196220550977948E-2</v>
      </c>
      <c r="DZ79" s="8">
        <v>-6.9105716228991282E-2</v>
      </c>
      <c r="EA79" s="8">
        <v>3.1871592175949787E-2</v>
      </c>
      <c r="EB79" s="8">
        <v>1.885861593019561E-2</v>
      </c>
      <c r="EC79" s="8">
        <v>5.4622799245087728E-2</v>
      </c>
      <c r="ED79" s="8">
        <v>2.1930050707563375E-2</v>
      </c>
      <c r="EE79" s="8">
        <v>-3.2364318465532643E-2</v>
      </c>
      <c r="EF79" s="8">
        <v>-1.2817354397052227E-3</v>
      </c>
      <c r="EG79" s="8">
        <v>-4.642261153420349E-2</v>
      </c>
      <c r="EH79" s="8">
        <v>-1.3725803091788391E-2</v>
      </c>
      <c r="EI79" s="8">
        <v>-9.426859527469289E-2</v>
      </c>
      <c r="EJ79" s="8">
        <v>-2.1027016792991238E-2</v>
      </c>
      <c r="EK79" s="8">
        <v>-3.7616375777780903E-2</v>
      </c>
      <c r="EL79" s="8">
        <v>-6.2224002500880227E-3</v>
      </c>
      <c r="EM79" s="8">
        <v>-1.1776098327471202E-2</v>
      </c>
      <c r="EN79" s="8">
        <v>-8.4823741192220359E-3</v>
      </c>
      <c r="EO79" s="8">
        <v>7.7539538083498394E-3</v>
      </c>
      <c r="EP79" s="8">
        <v>1.9681035906633587E-2</v>
      </c>
      <c r="EQ79" s="8">
        <v>3.8219583474801838E-2</v>
      </c>
      <c r="ER79" s="8">
        <v>-4.5059139962314143E-2</v>
      </c>
      <c r="ES79" s="8">
        <v>9.6953509499159513E-2</v>
      </c>
      <c r="ET79" s="8">
        <v>4.4750555526857499E-2</v>
      </c>
      <c r="EU79" s="8">
        <v>4.0526208957696125E-2</v>
      </c>
      <c r="EV79" s="8">
        <v>-1.6432776514438474E-2</v>
      </c>
      <c r="EW79" s="8">
        <v>3.0676653115733477E-3</v>
      </c>
      <c r="EX79" s="8">
        <v>1.8909057055165823E-2</v>
      </c>
      <c r="EY79" s="8">
        <v>-2.0403519532988912E-2</v>
      </c>
      <c r="EZ79" s="8">
        <v>-2.0088670436099965E-2</v>
      </c>
      <c r="FA79" s="8">
        <v>-5.6979629911765084E-2</v>
      </c>
      <c r="FB79" s="8">
        <v>1.5249223155617525E-2</v>
      </c>
      <c r="FC79" s="8">
        <v>-9.8899042254736308E-2</v>
      </c>
      <c r="FD79" s="8">
        <v>1.0646913437319327E-2</v>
      </c>
      <c r="FE79" s="8">
        <v>2.1691991729842541E-2</v>
      </c>
      <c r="FF79" s="8">
        <v>1.5263598618946994E-3</v>
      </c>
      <c r="FG79" s="8">
        <v>-2.6207832389599478E-2</v>
      </c>
      <c r="FH79" s="8">
        <v>3.862282998655836E-2</v>
      </c>
      <c r="FI79" s="8">
        <v>-1.6339579670801796E-2</v>
      </c>
      <c r="FJ79" s="8">
        <v>5.2141622283397859E-3</v>
      </c>
      <c r="FK79" s="8">
        <v>-3.1668992663672291E-2</v>
      </c>
      <c r="FL79" s="8">
        <v>-6.0670123875593562E-3</v>
      </c>
      <c r="FM79" s="8">
        <v>5.8856981941373482E-2</v>
      </c>
      <c r="FN79" s="8">
        <v>-6.9220774178970629E-2</v>
      </c>
      <c r="FO79" s="8">
        <v>3.8720007977018217E-2</v>
      </c>
      <c r="FP79" s="8">
        <v>1.412053496431967E-2</v>
      </c>
      <c r="FQ79" s="8">
        <v>-5.7395597567278078E-2</v>
      </c>
      <c r="FR79" s="8">
        <v>-3.5794128739481623E-2</v>
      </c>
      <c r="FS79" s="8">
        <v>2.7582663952259168E-2</v>
      </c>
      <c r="FT79" s="8">
        <v>-2.144037475265459E-2</v>
      </c>
      <c r="FU79" s="8">
        <v>-1.2395547110191418E-2</v>
      </c>
      <c r="FV79" s="8">
        <v>-2.8905830867985649E-2</v>
      </c>
      <c r="FW79" s="8">
        <v>3.0368644635047071E-2</v>
      </c>
      <c r="FX79" s="8">
        <v>-5.9598175730895736E-2</v>
      </c>
      <c r="FY79" s="8">
        <v>2.1732839411292171E-2</v>
      </c>
      <c r="FZ79" s="8">
        <v>-4.4151159735769552E-2</v>
      </c>
      <c r="GA79" s="8">
        <v>-1.9959613370651663E-2</v>
      </c>
      <c r="GB79" s="8">
        <v>2.0352106844456735E-2</v>
      </c>
      <c r="GC79" s="8">
        <v>-5.8039052580211026E-3</v>
      </c>
      <c r="GD79" s="8">
        <v>-3.349115573266348E-2</v>
      </c>
      <c r="GE79" s="8">
        <v>5.20505565902048E-2</v>
      </c>
      <c r="GF79" s="8">
        <v>5.161526606989425E-2</v>
      </c>
      <c r="GG79" s="8">
        <v>-7.9334115848196607E-2</v>
      </c>
      <c r="GH79" s="8">
        <v>-1.715143140750866E-2</v>
      </c>
      <c r="GI79" s="8">
        <v>-2.0148379026751262E-2</v>
      </c>
      <c r="GJ79" s="8">
        <v>-3.6431828442786807E-2</v>
      </c>
      <c r="GK79" s="8">
        <v>4.0156683721726205E-2</v>
      </c>
      <c r="GL79" s="8">
        <v>-2.0993642174748611E-2</v>
      </c>
      <c r="GM79" s="8">
        <v>-2.7000261650982238E-2</v>
      </c>
      <c r="GN79" s="8">
        <v>-8.0409873092758544E-3</v>
      </c>
      <c r="GO79" s="8">
        <v>-1.3864542829779114E-2</v>
      </c>
      <c r="GP79" s="8">
        <v>0.11643892197599129</v>
      </c>
      <c r="GQ79" s="8">
        <v>-3.6634306155087226E-2</v>
      </c>
      <c r="GR79" s="8">
        <v>4.7462860824416531E-2</v>
      </c>
      <c r="GS79" s="8">
        <v>1.5851448250189387E-2</v>
      </c>
      <c r="GT79" s="8">
        <v>-0.10481972593952518</v>
      </c>
      <c r="GU79" s="8">
        <v>-1.1109340765399073E-2</v>
      </c>
      <c r="GV79" s="8">
        <v>-2.9913688094778901E-2</v>
      </c>
      <c r="GW79" s="8">
        <v>-4.6751847242131273E-2</v>
      </c>
      <c r="GX79" s="8">
        <v>6.551520365355723E-3</v>
      </c>
      <c r="GY79" s="8">
        <v>-4.4245072547648784E-2</v>
      </c>
      <c r="GZ79" s="8">
        <v>-7.2373427925313566E-2</v>
      </c>
      <c r="HA79" s="8">
        <v>-5.460107413359494E-2</v>
      </c>
      <c r="HB79" s="8">
        <v>5.4723484159032026E-2</v>
      </c>
      <c r="HC79" s="8">
        <v>-3.5313976336032032E-2</v>
      </c>
      <c r="HD79" s="8">
        <v>-2.2389599265050603E-2</v>
      </c>
      <c r="HE79" s="8">
        <v>-6.6385295847592257E-2</v>
      </c>
      <c r="HF79" s="8">
        <v>-1.1149604626695564E-2</v>
      </c>
      <c r="HG79" s="8">
        <v>3.2459207025474557E-2</v>
      </c>
      <c r="HH79" s="8">
        <v>6.5467785312370852E-3</v>
      </c>
      <c r="HI79" s="8">
        <v>-1.774323159465141E-2</v>
      </c>
      <c r="HJ79" s="8">
        <v>-2.432030137136576E-2</v>
      </c>
      <c r="HK79" s="8">
        <v>-3.2429275155405335E-3</v>
      </c>
      <c r="HL79" s="8">
        <v>6.9739341667339222E-2</v>
      </c>
      <c r="HM79" s="8">
        <v>-2.2681177498137112E-2</v>
      </c>
      <c r="HN79" s="8">
        <v>9.2479714870713298E-2</v>
      </c>
      <c r="HO79" s="8">
        <v>4.4621924942689351E-2</v>
      </c>
      <c r="HP79" s="8">
        <v>-1.864905042423981E-3</v>
      </c>
      <c r="HQ79" s="8">
        <v>-4.6992566372369204E-2</v>
      </c>
      <c r="HR79" s="8">
        <v>9.231892038285916E-2</v>
      </c>
      <c r="HS79" s="8">
        <v>2.2296397510427252E-2</v>
      </c>
      <c r="HT79" s="8">
        <v>0.10151289538910457</v>
      </c>
      <c r="HU79" s="8">
        <v>4.7853880859939912E-2</v>
      </c>
      <c r="HV79" s="8">
        <v>-5.5766199230262797E-2</v>
      </c>
      <c r="HW79" s="8">
        <v>0.10396176992274161</v>
      </c>
      <c r="HX79" s="8">
        <v>6.1468780533251888E-2</v>
      </c>
      <c r="HY79" s="8">
        <v>3.3233983458157507E-2</v>
      </c>
      <c r="HZ79" s="8">
        <v>-5.7679562898993481E-2</v>
      </c>
      <c r="IA79" s="8">
        <v>4.1899425161794041E-2</v>
      </c>
      <c r="IB79" s="8">
        <v>-2.5803429418600476E-3</v>
      </c>
      <c r="IC79" s="8">
        <v>-6.0035482677175817E-2</v>
      </c>
      <c r="ID79" s="8">
        <v>1.5443846541238759E-2</v>
      </c>
      <c r="IE79" s="8">
        <v>7.3915923420513036E-2</v>
      </c>
      <c r="IF79" s="8">
        <v>6.5425179842364178E-2</v>
      </c>
      <c r="IG79" s="8">
        <v>2.4120154548788131E-2</v>
      </c>
      <c r="IH79" s="8">
        <v>-9.2323007524747203E-2</v>
      </c>
      <c r="II79" s="8">
        <v>8.0522672093349179E-2</v>
      </c>
      <c r="IJ79" s="8">
        <v>-1.5460780133578211E-3</v>
      </c>
      <c r="IK79" s="8">
        <v>5.5302019425688881E-2</v>
      </c>
      <c r="IL79" s="8">
        <v>3.0483944465953261E-3</v>
      </c>
      <c r="IM79" s="8">
        <v>-2.5187618686419666E-2</v>
      </c>
      <c r="IN79" s="8">
        <v>1.2710648020386767E-2</v>
      </c>
      <c r="IO79" s="8">
        <v>-8.521994693742177E-2</v>
      </c>
      <c r="IP79" s="8">
        <v>3.7702721012639051E-3</v>
      </c>
      <c r="IQ79" s="8">
        <v>-3.3428518044047562E-2</v>
      </c>
      <c r="IR79" s="8">
        <v>-5.0168880860884446E-2</v>
      </c>
      <c r="IS79" s="8">
        <v>-2.6210008091904075E-2</v>
      </c>
      <c r="IT79" s="8">
        <v>5.5318444351902141E-2</v>
      </c>
    </row>
    <row r="80" spans="1:254" s="11" customFormat="1" x14ac:dyDescent="0.2">
      <c r="A80" s="10"/>
      <c r="B80" s="12">
        <v>6.75</v>
      </c>
      <c r="C80" s="2">
        <f t="shared" si="43"/>
        <v>1.7154588816207531E-2</v>
      </c>
      <c r="D80" s="3">
        <f t="shared" si="44"/>
        <v>5.7894131382098951E-2</v>
      </c>
      <c r="E80" s="8">
        <v>-4.9281035356802533E-2</v>
      </c>
      <c r="F80" s="8">
        <v>3.8931044862632547E-2</v>
      </c>
      <c r="G80" s="8">
        <v>4.9725335395540998E-2</v>
      </c>
      <c r="H80" s="8">
        <v>-5.5922418698220733E-3</v>
      </c>
      <c r="I80" s="8">
        <v>-3.8258765767519021E-3</v>
      </c>
      <c r="J80" s="8">
        <v>6.241059470512933E-2</v>
      </c>
      <c r="K80" s="8">
        <v>2.1839683252385222E-2</v>
      </c>
      <c r="L80" s="8">
        <v>9.8221873314738195E-2</v>
      </c>
      <c r="M80" s="8">
        <v>2.3070212459254863E-2</v>
      </c>
      <c r="N80" s="8">
        <v>2.7800472409010291E-2</v>
      </c>
      <c r="O80" s="8">
        <v>-2.4824680774080482E-2</v>
      </c>
      <c r="P80" s="8">
        <v>-5.0114975936621786E-3</v>
      </c>
      <c r="Q80" s="8">
        <v>-2.5030523119724313E-2</v>
      </c>
      <c r="R80" s="8">
        <v>8.4514918845271514E-4</v>
      </c>
      <c r="S80" s="8">
        <v>1.8136522999695093E-2</v>
      </c>
      <c r="T80" s="8">
        <v>1.1287890346175389E-2</v>
      </c>
      <c r="U80" s="8">
        <v>2.4806789191913259E-2</v>
      </c>
      <c r="V80" s="8">
        <v>-2.8721209250526819E-2</v>
      </c>
      <c r="W80" s="8">
        <v>-1.0502830620195303E-2</v>
      </c>
      <c r="X80" s="8">
        <v>-5.018462877064539E-2</v>
      </c>
      <c r="Y80" s="8">
        <v>-6.3837266554913286E-2</v>
      </c>
      <c r="Z80" s="8">
        <v>-2.9152541490827077E-2</v>
      </c>
      <c r="AA80" s="8">
        <v>-0.1364841584483755</v>
      </c>
      <c r="AB80" s="8">
        <v>2.8263609062742501E-4</v>
      </c>
      <c r="AC80" s="8">
        <v>2.0013073710895224E-2</v>
      </c>
      <c r="AD80" s="8">
        <v>-2.99061246451022E-2</v>
      </c>
      <c r="AE80" s="8">
        <v>1.1575477140944562E-2</v>
      </c>
      <c r="AF80" s="8">
        <v>-9.7659093983419404E-2</v>
      </c>
      <c r="AG80" s="8">
        <v>-1.427034863086199E-2</v>
      </c>
      <c r="AH80" s="8">
        <v>-1.46840333751449E-2</v>
      </c>
      <c r="AI80" s="8">
        <v>8.4032981463094403E-3</v>
      </c>
      <c r="AJ80" s="8">
        <v>5.2412691654171006E-2</v>
      </c>
      <c r="AK80" s="8">
        <v>-4.2919540771724163E-2</v>
      </c>
      <c r="AL80" s="8">
        <v>8.6952018479507787E-3</v>
      </c>
      <c r="AM80" s="8">
        <v>7.3924210020080844E-2</v>
      </c>
      <c r="AN80" s="8">
        <v>2.0417306790964845E-2</v>
      </c>
      <c r="AO80" s="8">
        <v>2.3058268579390528E-2</v>
      </c>
      <c r="AP80" s="8">
        <v>5.7372374117234504E-2</v>
      </c>
      <c r="AQ80" s="8">
        <v>-0.12137149275041609</v>
      </c>
      <c r="AR80" s="8">
        <v>4.184122377591129E-2</v>
      </c>
      <c r="AS80" s="8">
        <v>-4.4111845568014257E-2</v>
      </c>
      <c r="AT80" s="8">
        <v>-1.4129272796648551E-3</v>
      </c>
      <c r="AU80" s="8">
        <v>-1.916286326905875E-2</v>
      </c>
      <c r="AV80" s="8">
        <v>0.11858939406275348</v>
      </c>
      <c r="AW80" s="8">
        <v>2.6893228431901506E-3</v>
      </c>
      <c r="AX80" s="8">
        <v>-3.2311921897870938E-2</v>
      </c>
      <c r="AY80" s="8">
        <v>2.8178949709692008E-2</v>
      </c>
      <c r="AZ80" s="8">
        <v>-0.13631482860750246</v>
      </c>
      <c r="BA80" s="8">
        <v>-4.9382814464656755E-2</v>
      </c>
      <c r="BB80" s="8">
        <v>-4.5302032471587844E-2</v>
      </c>
      <c r="BC80" s="8">
        <v>-2.4837550836665834E-2</v>
      </c>
      <c r="BD80" s="8">
        <v>-2.8336861175698974E-2</v>
      </c>
      <c r="BE80" s="8">
        <v>2.2364478025956203E-2</v>
      </c>
      <c r="BF80" s="8">
        <v>6.2165464877068338E-2</v>
      </c>
      <c r="BG80" s="8">
        <v>-1.5024602111100266E-2</v>
      </c>
      <c r="BH80" s="8">
        <v>-0.1070829299823941</v>
      </c>
      <c r="BI80" s="8">
        <v>2.0771561767225388E-2</v>
      </c>
      <c r="BJ80" s="8">
        <v>3.3339803661085243E-2</v>
      </c>
      <c r="BK80" s="8">
        <v>3.117176531438412E-2</v>
      </c>
      <c r="BL80" s="8">
        <v>8.780844915643371E-2</v>
      </c>
      <c r="BM80" s="8">
        <v>2.2976800619977894E-2</v>
      </c>
      <c r="BN80" s="8">
        <v>8.6083392374456114E-3</v>
      </c>
      <c r="BO80" s="8">
        <v>-2.1290283625435641E-2</v>
      </c>
      <c r="BP80" s="8">
        <v>-2.7586121485252524E-2</v>
      </c>
      <c r="BQ80" s="8">
        <v>9.09985218433631E-2</v>
      </c>
      <c r="BR80" s="8">
        <v>8.4975113542747338E-3</v>
      </c>
      <c r="BS80" s="8">
        <v>2.4562783866325766E-2</v>
      </c>
      <c r="BT80" s="8">
        <v>-1.5953776551237309E-2</v>
      </c>
      <c r="BU80" s="8">
        <v>3.9088830823120119E-2</v>
      </c>
      <c r="BV80" s="8">
        <v>-5.1090092871681786E-2</v>
      </c>
      <c r="BW80" s="8">
        <v>2.2001913403789097E-2</v>
      </c>
      <c r="BX80" s="8">
        <v>-6.3237430812820739E-2</v>
      </c>
      <c r="BY80" s="8">
        <v>-1.9525333842670661E-2</v>
      </c>
      <c r="BZ80" s="8">
        <v>-3.1526609873442357E-2</v>
      </c>
      <c r="CA80" s="8">
        <v>-0.11162401077460701</v>
      </c>
      <c r="CB80" s="8">
        <v>1.3791918867141817E-2</v>
      </c>
      <c r="CC80" s="8">
        <v>2.7195851023825934E-2</v>
      </c>
      <c r="CD80" s="8">
        <v>5.8159090266955427E-2</v>
      </c>
      <c r="CE80" s="8">
        <v>7.548730488232902E-3</v>
      </c>
      <c r="CF80" s="8">
        <v>2.3020405045895864E-2</v>
      </c>
      <c r="CG80" s="8">
        <v>6.1743312168305808E-2</v>
      </c>
      <c r="CH80" s="8">
        <v>3.0506656551676836E-2</v>
      </c>
      <c r="CI80" s="8">
        <v>-3.6948331620939134E-2</v>
      </c>
      <c r="CJ80" s="8">
        <v>-1.1604319505295307E-2</v>
      </c>
      <c r="CK80" s="8">
        <v>-3.637598050358648E-2</v>
      </c>
      <c r="CL80" s="8">
        <v>-6.14804129581977E-2</v>
      </c>
      <c r="CM80" s="8">
        <v>5.9109662154984366E-2</v>
      </c>
      <c r="CN80" s="8">
        <v>-6.178387840708649E-3</v>
      </c>
      <c r="CO80" s="8">
        <v>2.325617511570538E-3</v>
      </c>
      <c r="CP80" s="8">
        <v>2.9743898763346099E-2</v>
      </c>
      <c r="CQ80" s="8">
        <v>0.14983447010565459</v>
      </c>
      <c r="CR80" s="8">
        <v>3.980583266184376E-2</v>
      </c>
      <c r="CS80" s="8">
        <v>-7.9150472013993667E-2</v>
      </c>
      <c r="CT80" s="8">
        <v>-2.778074205163894E-2</v>
      </c>
      <c r="CU80" s="8">
        <v>1.9253103975152203E-2</v>
      </c>
      <c r="CV80" s="8">
        <v>-9.5480304612451106E-3</v>
      </c>
      <c r="CW80" s="8">
        <v>-2.7131042921380771E-2</v>
      </c>
      <c r="CX80" s="8">
        <v>-3.5715411992033347E-2</v>
      </c>
      <c r="CY80" s="8">
        <v>5.7894131382098951E-2</v>
      </c>
      <c r="CZ80" s="8">
        <v>8.9851731396429213E-2</v>
      </c>
      <c r="DA80" s="8">
        <v>3.556640443501824E-2</v>
      </c>
      <c r="DB80" s="8">
        <v>-7.2263637850053741E-2</v>
      </c>
      <c r="DC80" s="8">
        <v>1.5423705468081111E-2</v>
      </c>
      <c r="DD80" s="8">
        <v>-3.3808442598745908E-2</v>
      </c>
      <c r="DE80" s="8">
        <v>-8.5745064168479324E-2</v>
      </c>
      <c r="DF80" s="8">
        <v>9.8272311617119967E-2</v>
      </c>
      <c r="DG80" s="8">
        <v>-0.10402365448656983</v>
      </c>
      <c r="DH80" s="8">
        <v>-3.5284279850026162E-2</v>
      </c>
      <c r="DI80" s="8">
        <v>-1.6221324459787551E-2</v>
      </c>
      <c r="DJ80" s="8">
        <v>-8.0596672596759678E-3</v>
      </c>
      <c r="DK80" s="8">
        <v>1.4832955095951783E-2</v>
      </c>
      <c r="DL80" s="8">
        <v>-2.7678116787968332E-3</v>
      </c>
      <c r="DM80" s="8">
        <v>-4.3524900130041455E-2</v>
      </c>
      <c r="DN80" s="8">
        <v>3.7889092661404306E-2</v>
      </c>
      <c r="DO80" s="8">
        <v>-9.6663339292113765E-2</v>
      </c>
      <c r="DP80" s="8">
        <v>2.950645854488676E-3</v>
      </c>
      <c r="DQ80" s="8">
        <v>2.4751906398588874E-2</v>
      </c>
      <c r="DR80" s="8">
        <v>-3.0095927161050001E-2</v>
      </c>
      <c r="DS80" s="8">
        <v>2.8840203282676891E-2</v>
      </c>
      <c r="DT80" s="8">
        <v>-1.1816276371427181E-3</v>
      </c>
      <c r="DU80" s="8">
        <v>-2.8544270281556983E-2</v>
      </c>
      <c r="DV80" s="8">
        <v>5.8016281456207019E-2</v>
      </c>
      <c r="DW80" s="8">
        <v>-2.4780881194957721E-2</v>
      </c>
      <c r="DX80" s="8">
        <v>2.1512780089267602E-2</v>
      </c>
      <c r="DY80" s="8">
        <v>-4.8073446880918441E-2</v>
      </c>
      <c r="DZ80" s="8">
        <v>-8.36898969667694E-2</v>
      </c>
      <c r="EA80" s="8">
        <v>1.8963889157055269E-2</v>
      </c>
      <c r="EB80" s="8">
        <v>-2.8865634772692883E-3</v>
      </c>
      <c r="EC80" s="8">
        <v>3.8709520181185869E-2</v>
      </c>
      <c r="ED80" s="8">
        <v>2.4195507346725542E-2</v>
      </c>
      <c r="EE80" s="8">
        <v>-2.5460309051614727E-2</v>
      </c>
      <c r="EF80" s="8">
        <v>9.0991276896143503E-4</v>
      </c>
      <c r="EG80" s="8">
        <v>-1.7853189974971373E-2</v>
      </c>
      <c r="EH80" s="8">
        <v>-1.3806157921718271E-2</v>
      </c>
      <c r="EI80" s="8">
        <v>-9.0762249158311548E-2</v>
      </c>
      <c r="EJ80" s="8">
        <v>-1.0336430516752732E-2</v>
      </c>
      <c r="EK80" s="8">
        <v>-3.0899636572950362E-2</v>
      </c>
      <c r="EL80" s="8">
        <v>-7.0535707555786087E-3</v>
      </c>
      <c r="EM80" s="8">
        <v>-5.0030198049518804E-3</v>
      </c>
      <c r="EN80" s="8">
        <v>-9.2950491525100321E-3</v>
      </c>
      <c r="EO80" s="8">
        <v>-4.646374967726713E-3</v>
      </c>
      <c r="EP80" s="8">
        <v>1.6375761881760348E-2</v>
      </c>
      <c r="EQ80" s="8">
        <v>1.8728352519677083E-2</v>
      </c>
      <c r="ER80" s="8">
        <v>-5.3204443021120013E-2</v>
      </c>
      <c r="ES80" s="8">
        <v>0.12056466755539239</v>
      </c>
      <c r="ET80" s="8">
        <v>3.6189600686182294E-2</v>
      </c>
      <c r="EU80" s="8">
        <v>1.9500052211123886E-2</v>
      </c>
      <c r="EV80" s="8">
        <v>-5.4086589583849098E-3</v>
      </c>
      <c r="EW80" s="8">
        <v>7.1101939931476066E-3</v>
      </c>
      <c r="EX80" s="8">
        <v>2.0708771822951499E-3</v>
      </c>
      <c r="EY80" s="8">
        <v>-8.2797307586980617E-3</v>
      </c>
      <c r="EZ80" s="8">
        <v>-3.3961072028131534E-2</v>
      </c>
      <c r="FA80" s="8">
        <v>-4.2822668775876455E-2</v>
      </c>
      <c r="FB80" s="8">
        <v>-7.5910115049400428E-3</v>
      </c>
      <c r="FC80" s="8">
        <v>-9.5646457440142968E-2</v>
      </c>
      <c r="FD80" s="8">
        <v>2.5917442477349895E-2</v>
      </c>
      <c r="FE80" s="8">
        <v>1.7065510173228104E-2</v>
      </c>
      <c r="FF80" s="8">
        <v>2.5413793105685811E-4</v>
      </c>
      <c r="FG80" s="8">
        <v>-1.9384065387411303E-2</v>
      </c>
      <c r="FH80" s="8">
        <v>3.8459894636490161E-2</v>
      </c>
      <c r="FI80" s="8">
        <v>-1.9669532987300148E-2</v>
      </c>
      <c r="FJ80" s="8">
        <v>-1.2459546853823195E-2</v>
      </c>
      <c r="FK80" s="8">
        <v>-5.6199453163877339E-2</v>
      </c>
      <c r="FL80" s="8">
        <v>-2.5916634919567194E-3</v>
      </c>
      <c r="FM80" s="8">
        <v>3.0303234487019187E-2</v>
      </c>
      <c r="FN80" s="8">
        <v>-5.1283697719880894E-2</v>
      </c>
      <c r="FO80" s="8">
        <v>2.575972861384318E-2</v>
      </c>
      <c r="FP80" s="8">
        <v>-1.251974241470416E-3</v>
      </c>
      <c r="FQ80" s="8">
        <v>-4.0396422524614672E-2</v>
      </c>
      <c r="FR80" s="8">
        <v>-2.8412266289181504E-2</v>
      </c>
      <c r="FS80" s="8">
        <v>3.498115154239248E-2</v>
      </c>
      <c r="FT80" s="8">
        <v>-2.7133022237402604E-2</v>
      </c>
      <c r="FU80" s="8">
        <v>-5.1687935054563205E-3</v>
      </c>
      <c r="FV80" s="8">
        <v>-8.9133407793240416E-3</v>
      </c>
      <c r="FW80" s="8">
        <v>3.0790420337780788E-2</v>
      </c>
      <c r="FX80" s="8">
        <v>-6.0311381015680066E-2</v>
      </c>
      <c r="FY80" s="8">
        <v>3.6757069102518469E-3</v>
      </c>
      <c r="FZ80" s="8">
        <v>-4.8730740352917384E-2</v>
      </c>
      <c r="GA80" s="8">
        <v>-1.4706675898103233E-2</v>
      </c>
      <c r="GB80" s="8">
        <v>3.7357394705424984E-2</v>
      </c>
      <c r="GC80" s="8">
        <v>-9.6250973091028535E-3</v>
      </c>
      <c r="GD80" s="8">
        <v>-3.8230060022771573E-2</v>
      </c>
      <c r="GE80" s="8">
        <v>3.0855172527360919E-2</v>
      </c>
      <c r="GF80" s="8">
        <v>3.9795946463574317E-2</v>
      </c>
      <c r="GG80" s="8">
        <v>-9.1002880018354632E-2</v>
      </c>
      <c r="GH80" s="8">
        <v>-1.520240393542277E-2</v>
      </c>
      <c r="GI80" s="8">
        <v>-4.6254749205628942E-3</v>
      </c>
      <c r="GJ80" s="8">
        <v>-3.7466762594919156E-2</v>
      </c>
      <c r="GK80" s="8">
        <v>4.6959598606038599E-2</v>
      </c>
      <c r="GL80" s="8">
        <v>-3.0227710585678524E-2</v>
      </c>
      <c r="GM80" s="8">
        <v>-1.225761750425497E-2</v>
      </c>
      <c r="GN80" s="8">
        <v>8.9929895561247641E-3</v>
      </c>
      <c r="GO80" s="8">
        <v>-5.5258854778214017E-3</v>
      </c>
      <c r="GP80" s="8">
        <v>0.10631049436395568</v>
      </c>
      <c r="GQ80" s="8">
        <v>-2.448191392564894E-2</v>
      </c>
      <c r="GR80" s="8">
        <v>4.3461257445969653E-2</v>
      </c>
      <c r="GS80" s="8">
        <v>2.221127326888242E-2</v>
      </c>
      <c r="GT80" s="8">
        <v>-0.11138916155454315</v>
      </c>
      <c r="GU80" s="8">
        <v>-5.9060720942346878E-3</v>
      </c>
      <c r="GV80" s="8">
        <v>-3.0045472892542668E-2</v>
      </c>
      <c r="GW80" s="8">
        <v>-4.4126567834936875E-2</v>
      </c>
      <c r="GX80" s="8">
        <v>3.2753578255406729E-2</v>
      </c>
      <c r="GY80" s="8">
        <v>-5.6004668080343267E-2</v>
      </c>
      <c r="GZ80" s="8">
        <v>-4.9508959012203868E-2</v>
      </c>
      <c r="HA80" s="8">
        <v>-6.2740363514367237E-2</v>
      </c>
      <c r="HB80" s="8">
        <v>4.0743575795210374E-2</v>
      </c>
      <c r="HC80" s="8">
        <v>-1.7483830625900171E-2</v>
      </c>
      <c r="HD80" s="8">
        <v>-7.8195955012646812E-3</v>
      </c>
      <c r="HE80" s="8">
        <v>-5.3465410675536784E-2</v>
      </c>
      <c r="HF80" s="8">
        <v>-2.4013524041895579E-2</v>
      </c>
      <c r="HG80" s="8">
        <v>1.696583832117815E-2</v>
      </c>
      <c r="HH80" s="8">
        <v>2.1538452450611784E-2</v>
      </c>
      <c r="HI80" s="8">
        <v>4.3879654351193509E-3</v>
      </c>
      <c r="HJ80" s="8">
        <v>-3.1168041244609895E-2</v>
      </c>
      <c r="HK80" s="8">
        <v>-1.4913132235477439E-2</v>
      </c>
      <c r="HL80" s="8">
        <v>5.5932493152039853E-2</v>
      </c>
      <c r="HM80" s="8">
        <v>-5.3238684101911959E-3</v>
      </c>
      <c r="HN80" s="8">
        <v>6.5531854533398382E-2</v>
      </c>
      <c r="HO80" s="8">
        <v>6.3720544715926725E-2</v>
      </c>
      <c r="HP80" s="8">
        <v>6.6426335339012099E-4</v>
      </c>
      <c r="HQ80" s="8">
        <v>-4.0822510550300867E-2</v>
      </c>
      <c r="HR80" s="8">
        <v>6.7762487771295815E-2</v>
      </c>
      <c r="HS80" s="8">
        <v>2.1661340132387741E-2</v>
      </c>
      <c r="HT80" s="8">
        <v>0.11352646080852324</v>
      </c>
      <c r="HU80" s="8">
        <v>3.8321736372331383E-2</v>
      </c>
      <c r="HV80" s="8">
        <v>-5.4542249297824669E-2</v>
      </c>
      <c r="HW80" s="8">
        <v>7.3221121980306336E-2</v>
      </c>
      <c r="HX80" s="8">
        <v>6.2014067026133962E-2</v>
      </c>
      <c r="HY80" s="8">
        <v>3.2196876499705596E-2</v>
      </c>
      <c r="HZ80" s="8">
        <v>-5.3092518944983152E-2</v>
      </c>
      <c r="IA80" s="8">
        <v>3.1557509871270678E-2</v>
      </c>
      <c r="IB80" s="8">
        <v>2.5729686785608108E-2</v>
      </c>
      <c r="IC80" s="8">
        <v>-3.4363772245099455E-2</v>
      </c>
      <c r="ID80" s="8">
        <v>1.9343194930366903E-2</v>
      </c>
      <c r="IE80" s="8">
        <v>5.97975574920174E-2</v>
      </c>
      <c r="IF80" s="8">
        <v>5.4484971112525038E-2</v>
      </c>
      <c r="IG80" s="8">
        <v>1.2794229058521095E-2</v>
      </c>
      <c r="IH80" s="8">
        <v>-6.7465920154621328E-2</v>
      </c>
      <c r="II80" s="8">
        <v>6.2307080704627454E-2</v>
      </c>
      <c r="IJ80" s="8">
        <v>1.4905570383457523E-2</v>
      </c>
      <c r="IK80" s="8">
        <v>5.9978081261464228E-2</v>
      </c>
      <c r="IL80" s="8">
        <v>-1.4083091571667372E-2</v>
      </c>
      <c r="IM80" s="8">
        <v>-3.1790693625923128E-2</v>
      </c>
      <c r="IN80" s="8">
        <v>2.1837087080595147E-2</v>
      </c>
      <c r="IO80" s="8">
        <v>-9.635344135897364E-2</v>
      </c>
      <c r="IP80" s="8">
        <v>-9.1214066054021992E-3</v>
      </c>
      <c r="IQ80" s="8">
        <v>-2.8387330862713528E-2</v>
      </c>
      <c r="IR80" s="8">
        <v>-4.1043173286307161E-2</v>
      </c>
      <c r="IS80" s="8">
        <v>-1.4965482498194738E-2</v>
      </c>
      <c r="IT80" s="8">
        <v>4.1773969950801765E-2</v>
      </c>
    </row>
    <row r="81" spans="1:254" s="11" customFormat="1" x14ac:dyDescent="0.2">
      <c r="A81" s="10"/>
      <c r="B81" s="12">
        <v>7</v>
      </c>
      <c r="C81" s="2">
        <f t="shared" si="43"/>
        <v>1.7093627513866852E-2</v>
      </c>
      <c r="D81" s="3">
        <f t="shared" si="44"/>
        <v>5.1460202819857831E-2</v>
      </c>
      <c r="E81" s="8">
        <v>-2.8737156177392892E-2</v>
      </c>
      <c r="F81" s="8">
        <v>2.0771045968698693E-2</v>
      </c>
      <c r="G81" s="8">
        <v>4.3418549849755878E-2</v>
      </c>
      <c r="H81" s="8">
        <v>-1.20190101861678E-2</v>
      </c>
      <c r="I81" s="8">
        <v>-2.0462140019797403E-4</v>
      </c>
      <c r="J81" s="8">
        <v>5.3535758705528014E-2</v>
      </c>
      <c r="K81" s="8">
        <v>3.6689795510930823E-2</v>
      </c>
      <c r="L81" s="8">
        <v>8.3303207321868439E-2</v>
      </c>
      <c r="M81" s="8">
        <v>2.1859821496185206E-2</v>
      </c>
      <c r="N81" s="8">
        <v>2.6419569834741863E-2</v>
      </c>
      <c r="O81" s="8">
        <v>-1.4444412983312144E-2</v>
      </c>
      <c r="P81" s="8">
        <v>-1.9396684486728516E-2</v>
      </c>
      <c r="Q81" s="8">
        <v>-2.2178841578629704E-2</v>
      </c>
      <c r="R81" s="8">
        <v>9.1085037447111439E-3</v>
      </c>
      <c r="S81" s="8">
        <v>2.24193437412393E-2</v>
      </c>
      <c r="T81" s="8">
        <v>1.4285592975316064E-3</v>
      </c>
      <c r="U81" s="8">
        <v>3.1830446885488445E-2</v>
      </c>
      <c r="V81" s="8">
        <v>-1.1766666139254728E-2</v>
      </c>
      <c r="W81" s="8">
        <v>1.4155466342779505E-2</v>
      </c>
      <c r="X81" s="8">
        <v>-5.4107872835512633E-2</v>
      </c>
      <c r="Y81" s="8">
        <v>-5.3261043494688687E-2</v>
      </c>
      <c r="Z81" s="8">
        <v>-3.9572066906310821E-2</v>
      </c>
      <c r="AA81" s="8">
        <v>-0.14359482438488735</v>
      </c>
      <c r="AB81" s="8">
        <v>7.5117668256679537E-3</v>
      </c>
      <c r="AC81" s="8">
        <v>8.0660696711679358E-3</v>
      </c>
      <c r="AD81" s="8">
        <v>-5.6113168238460243E-3</v>
      </c>
      <c r="AE81" s="8">
        <v>2.4518064071177931E-2</v>
      </c>
      <c r="AF81" s="8">
        <v>-9.5296567094552559E-2</v>
      </c>
      <c r="AG81" s="8">
        <v>-2.4870562717853623E-2</v>
      </c>
      <c r="AH81" s="8">
        <v>-2.2643933783674852E-2</v>
      </c>
      <c r="AI81" s="8">
        <v>1.2646802995305489E-2</v>
      </c>
      <c r="AJ81" s="8">
        <v>2.5540755053536118E-2</v>
      </c>
      <c r="AK81" s="8">
        <v>-2.4957082158712701E-2</v>
      </c>
      <c r="AL81" s="8">
        <v>1.9126855471369719E-2</v>
      </c>
      <c r="AM81" s="8">
        <v>6.4932762501210273E-2</v>
      </c>
      <c r="AN81" s="8">
        <v>3.4663241959051738E-3</v>
      </c>
      <c r="AO81" s="8">
        <v>1.5901170082549515E-2</v>
      </c>
      <c r="AP81" s="8">
        <v>5.3114651816792258E-2</v>
      </c>
      <c r="AQ81" s="8">
        <v>-0.11942987920676165</v>
      </c>
      <c r="AR81" s="8">
        <v>5.0806089749833028E-2</v>
      </c>
      <c r="AS81" s="8">
        <v>-4.0397210362140917E-2</v>
      </c>
      <c r="AT81" s="8">
        <v>5.3345553483520602E-3</v>
      </c>
      <c r="AU81" s="8">
        <v>-1.9379550750613178E-2</v>
      </c>
      <c r="AV81" s="8">
        <v>9.262302777003123E-2</v>
      </c>
      <c r="AW81" s="8">
        <v>6.6304545922624136E-3</v>
      </c>
      <c r="AX81" s="8">
        <v>-3.2594601817793112E-2</v>
      </c>
      <c r="AY81" s="8">
        <v>3.0266688527676888E-2</v>
      </c>
      <c r="AZ81" s="8">
        <v>-0.10681073105714411</v>
      </c>
      <c r="BA81" s="8">
        <v>-4.8775178521900886E-2</v>
      </c>
      <c r="BB81" s="8">
        <v>-2.744968074693091E-2</v>
      </c>
      <c r="BC81" s="8">
        <v>-3.0635717950324437E-2</v>
      </c>
      <c r="BD81" s="8">
        <v>-1.0862459698167126E-2</v>
      </c>
      <c r="BE81" s="8">
        <v>2.6801651233558071E-2</v>
      </c>
      <c r="BF81" s="8">
        <v>4.8107316127045385E-2</v>
      </c>
      <c r="BG81" s="8">
        <v>-2.1019195063281704E-2</v>
      </c>
      <c r="BH81" s="8">
        <v>-9.4269599966644024E-2</v>
      </c>
      <c r="BI81" s="8">
        <v>4.4087825099086514E-2</v>
      </c>
      <c r="BJ81" s="8">
        <v>3.8174239167435287E-2</v>
      </c>
      <c r="BK81" s="8">
        <v>5.0681102535315908E-2</v>
      </c>
      <c r="BL81" s="8">
        <v>8.5695071824938879E-2</v>
      </c>
      <c r="BM81" s="8">
        <v>3.5626722039596687E-2</v>
      </c>
      <c r="BN81" s="8">
        <v>1.388653014464411E-2</v>
      </c>
      <c r="BO81" s="8">
        <v>-2.3505908227628353E-2</v>
      </c>
      <c r="BP81" s="8">
        <v>-3.5862811652656063E-2</v>
      </c>
      <c r="BQ81" s="8">
        <v>9.5526206678446413E-2</v>
      </c>
      <c r="BR81" s="8">
        <v>2.7354615835486956E-2</v>
      </c>
      <c r="BS81" s="8">
        <v>2.7492681530212393E-2</v>
      </c>
      <c r="BT81" s="8">
        <v>-2.2213212506161234E-2</v>
      </c>
      <c r="BU81" s="8">
        <v>2.6212280391276488E-2</v>
      </c>
      <c r="BV81" s="8">
        <v>-3.6602151583543158E-2</v>
      </c>
      <c r="BW81" s="8">
        <v>4.265141815561832E-2</v>
      </c>
      <c r="BX81" s="8">
        <v>-5.6891500203559181E-2</v>
      </c>
      <c r="BY81" s="8">
        <v>-5.8456586915211495E-3</v>
      </c>
      <c r="BZ81" s="8">
        <v>-1.7754804699078863E-2</v>
      </c>
      <c r="CA81" s="8">
        <v>-0.10517133093848097</v>
      </c>
      <c r="CB81" s="8">
        <v>2.0874444078729515E-2</v>
      </c>
      <c r="CC81" s="8">
        <v>1.4741873246111675E-2</v>
      </c>
      <c r="CD81" s="8">
        <v>4.6507825230162614E-2</v>
      </c>
      <c r="CE81" s="8">
        <v>1.6299244063343044E-2</v>
      </c>
      <c r="CF81" s="8">
        <v>3.6502200089628151E-2</v>
      </c>
      <c r="CG81" s="8">
        <v>6.0398167954238996E-2</v>
      </c>
      <c r="CH81" s="8">
        <v>1.9902593687865233E-2</v>
      </c>
      <c r="CI81" s="8">
        <v>-4.9727232844107155E-2</v>
      </c>
      <c r="CJ81" s="8">
        <v>-5.8731676845131253E-3</v>
      </c>
      <c r="CK81" s="8">
        <v>-1.2035688071556638E-2</v>
      </c>
      <c r="CL81" s="8">
        <v>-5.0735922912822223E-2</v>
      </c>
      <c r="CM81" s="8">
        <v>5.1460202819857831E-2</v>
      </c>
      <c r="CN81" s="8">
        <v>-2.7508240189754979E-2</v>
      </c>
      <c r="CO81" s="8">
        <v>4.6955769889711341E-3</v>
      </c>
      <c r="CP81" s="8">
        <v>2.3366717851972446E-2</v>
      </c>
      <c r="CQ81" s="8">
        <v>0.13931056119179508</v>
      </c>
      <c r="CR81" s="8">
        <v>4.1749093684239957E-2</v>
      </c>
      <c r="CS81" s="8">
        <v>-5.1936101462130985E-2</v>
      </c>
      <c r="CT81" s="8">
        <v>-3.493095932811327E-2</v>
      </c>
      <c r="CU81" s="8">
        <v>4.6880200373643238E-2</v>
      </c>
      <c r="CV81" s="8">
        <v>-1.1578035006039628E-2</v>
      </c>
      <c r="CW81" s="8">
        <v>-2.954869528554574E-2</v>
      </c>
      <c r="CX81" s="8">
        <v>-3.7179729629341518E-2</v>
      </c>
      <c r="CY81" s="8">
        <v>5.1940111023868252E-2</v>
      </c>
      <c r="CZ81" s="8">
        <v>5.9226088778719127E-2</v>
      </c>
      <c r="DA81" s="8">
        <v>3.3327524803155512E-2</v>
      </c>
      <c r="DB81" s="8">
        <v>-6.6969150626667251E-2</v>
      </c>
      <c r="DC81" s="8">
        <v>1.7565325575368634E-2</v>
      </c>
      <c r="DD81" s="8">
        <v>-4.1658363025593032E-2</v>
      </c>
      <c r="DE81" s="8">
        <v>-8.094028465060335E-2</v>
      </c>
      <c r="DF81" s="8">
        <v>8.865408548103984E-2</v>
      </c>
      <c r="DG81" s="8">
        <v>-0.10219505164983203</v>
      </c>
      <c r="DH81" s="8">
        <v>-4.3467608122292029E-2</v>
      </c>
      <c r="DI81" s="8">
        <v>-2.2795689918543166E-2</v>
      </c>
      <c r="DJ81" s="8">
        <v>-2.3285962563839024E-3</v>
      </c>
      <c r="DK81" s="8">
        <v>2.7813156136842404E-2</v>
      </c>
      <c r="DL81" s="8">
        <v>-1.6417437606738583E-2</v>
      </c>
      <c r="DM81" s="8">
        <v>-2.8029328049142349E-2</v>
      </c>
      <c r="DN81" s="8">
        <v>3.6091482580269812E-2</v>
      </c>
      <c r="DO81" s="8">
        <v>-9.8148616963016272E-2</v>
      </c>
      <c r="DP81" s="8">
        <v>3.4006743678897666E-3</v>
      </c>
      <c r="DQ81" s="8">
        <v>1.3730939789335345E-2</v>
      </c>
      <c r="DR81" s="8">
        <v>-1.836006908594634E-2</v>
      </c>
      <c r="DS81" s="8">
        <v>-3.1046351180783749E-3</v>
      </c>
      <c r="DT81" s="8">
        <v>-1.3924300782808263E-3</v>
      </c>
      <c r="DU81" s="8">
        <v>-4.4696912848183723E-2</v>
      </c>
      <c r="DV81" s="8">
        <v>3.0422414464557845E-2</v>
      </c>
      <c r="DW81" s="8">
        <v>-6.931853376948266E-3</v>
      </c>
      <c r="DX81" s="8">
        <v>3.596941731493386E-2</v>
      </c>
      <c r="DY81" s="8">
        <v>-3.1161634189141696E-2</v>
      </c>
      <c r="DZ81" s="8">
        <v>-9.8034241013336548E-2</v>
      </c>
      <c r="EA81" s="8">
        <v>2.3580007595499469E-2</v>
      </c>
      <c r="EB81" s="8">
        <v>9.6177955164925E-4</v>
      </c>
      <c r="EC81" s="8">
        <v>3.5775813166501857E-2</v>
      </c>
      <c r="ED81" s="8">
        <v>2.2998096914338406E-2</v>
      </c>
      <c r="EE81" s="8">
        <v>-2.0647977814755636E-2</v>
      </c>
      <c r="EF81" s="8">
        <v>-9.6297807824456128E-3</v>
      </c>
      <c r="EG81" s="8">
        <v>-1.3276008671449985E-2</v>
      </c>
      <c r="EH81" s="8">
        <v>-3.7822831375108612E-3</v>
      </c>
      <c r="EI81" s="8">
        <v>-8.9085001496955307E-2</v>
      </c>
      <c r="EJ81" s="8">
        <v>5.8747018460419687E-3</v>
      </c>
      <c r="EK81" s="8">
        <v>-2.8624809622265962E-2</v>
      </c>
      <c r="EL81" s="8">
        <v>-2.1856195443694715E-2</v>
      </c>
      <c r="EM81" s="8">
        <v>-6.1121688034779242E-4</v>
      </c>
      <c r="EN81" s="8">
        <v>-3.8394332548540022E-3</v>
      </c>
      <c r="EO81" s="8">
        <v>-2.8375688731028276E-2</v>
      </c>
      <c r="EP81" s="8">
        <v>1.3423406500179758E-2</v>
      </c>
      <c r="EQ81" s="8">
        <v>1.5218900610326352E-2</v>
      </c>
      <c r="ER81" s="8">
        <v>-2.3800115752100309E-2</v>
      </c>
      <c r="ES81" s="8">
        <v>0.11613860906768533</v>
      </c>
      <c r="ET81" s="8">
        <v>5.8865340353219747E-2</v>
      </c>
      <c r="EU81" s="8">
        <v>2.5141405889475693E-2</v>
      </c>
      <c r="EV81" s="8">
        <v>-1.9441015080010893E-2</v>
      </c>
      <c r="EW81" s="8">
        <v>1.5672710731377298E-2</v>
      </c>
      <c r="EX81" s="8">
        <v>1.0544328228189959E-2</v>
      </c>
      <c r="EY81" s="8">
        <v>4.0907712760702708E-3</v>
      </c>
      <c r="EZ81" s="8">
        <v>-2.7958099372027367E-2</v>
      </c>
      <c r="FA81" s="8">
        <v>-2.4381737613586113E-2</v>
      </c>
      <c r="FB81" s="8">
        <v>-1.5841560108728087E-2</v>
      </c>
      <c r="FC81" s="8">
        <v>-8.9601877173258238E-2</v>
      </c>
      <c r="FD81" s="8">
        <v>2.3067239182295363E-2</v>
      </c>
      <c r="FE81" s="8">
        <v>2.2712781237491986E-2</v>
      </c>
      <c r="FF81" s="8">
        <v>-4.9406862877184321E-3</v>
      </c>
      <c r="FG81" s="8">
        <v>-7.2660232349056331E-3</v>
      </c>
      <c r="FH81" s="8">
        <v>3.0663597485426575E-2</v>
      </c>
      <c r="FI81" s="8">
        <v>-1.2253392597551344E-2</v>
      </c>
      <c r="FJ81" s="8">
        <v>-5.9155037782919473E-3</v>
      </c>
      <c r="FK81" s="8">
        <v>-3.4672181443947042E-2</v>
      </c>
      <c r="FL81" s="8">
        <v>2.9748523691769668E-3</v>
      </c>
      <c r="FM81" s="8">
        <v>3.7256422820033164E-2</v>
      </c>
      <c r="FN81" s="8">
        <v>-5.4216304944059102E-2</v>
      </c>
      <c r="FO81" s="8">
        <v>7.9269348820766306E-3</v>
      </c>
      <c r="FP81" s="8">
        <v>1.7750002415350824E-2</v>
      </c>
      <c r="FQ81" s="8">
        <v>-4.1214468088909079E-2</v>
      </c>
      <c r="FR81" s="8">
        <v>-6.8679183675198208E-3</v>
      </c>
      <c r="FS81" s="8">
        <v>3.1173772176334241E-2</v>
      </c>
      <c r="FT81" s="8">
        <v>-2.9971505926762648E-2</v>
      </c>
      <c r="FU81" s="8">
        <v>5.9403437485738564E-3</v>
      </c>
      <c r="FV81" s="8">
        <v>-4.2784982438265617E-3</v>
      </c>
      <c r="FW81" s="8">
        <v>2.4980779207828929E-2</v>
      </c>
      <c r="FX81" s="8">
        <v>-3.7482007900957376E-2</v>
      </c>
      <c r="FY81" s="8">
        <v>-4.7403433437826492E-3</v>
      </c>
      <c r="FZ81" s="8">
        <v>-4.6080284607726313E-2</v>
      </c>
      <c r="GA81" s="8">
        <v>-6.5846401376710439E-3</v>
      </c>
      <c r="GB81" s="8">
        <v>4.5408707158195366E-2</v>
      </c>
      <c r="GC81" s="8">
        <v>-1.3294508356854778E-2</v>
      </c>
      <c r="GD81" s="8">
        <v>-3.2740601254486773E-2</v>
      </c>
      <c r="GE81" s="8">
        <v>2.2494464150168675E-2</v>
      </c>
      <c r="GF81" s="8">
        <v>3.5390174076288972E-2</v>
      </c>
      <c r="GG81" s="8">
        <v>-0.10282353596307384</v>
      </c>
      <c r="GH81" s="8">
        <v>-2.072568075359596E-2</v>
      </c>
      <c r="GI81" s="8">
        <v>-2.5143295927860271E-2</v>
      </c>
      <c r="GJ81" s="8">
        <v>-3.3252566082452001E-2</v>
      </c>
      <c r="GK81" s="8">
        <v>5.7384553296279672E-2</v>
      </c>
      <c r="GL81" s="8">
        <v>-4.9741879640382292E-2</v>
      </c>
      <c r="GM81" s="8">
        <v>-7.0084755433275081E-3</v>
      </c>
      <c r="GN81" s="8">
        <v>1.5162415509580723E-2</v>
      </c>
      <c r="GO81" s="8">
        <v>2.0087831454260935E-2</v>
      </c>
      <c r="GP81" s="8">
        <v>0.10307115853573487</v>
      </c>
      <c r="GQ81" s="8">
        <v>-3.4663673365548014E-2</v>
      </c>
      <c r="GR81" s="8">
        <v>3.3309246795342612E-2</v>
      </c>
      <c r="GS81" s="8">
        <v>2.8364816515719232E-2</v>
      </c>
      <c r="GT81" s="8">
        <v>-0.10016773694912673</v>
      </c>
      <c r="GU81" s="8">
        <v>-6.9224566492608608E-3</v>
      </c>
      <c r="GV81" s="8">
        <v>-4.0126453822926345E-2</v>
      </c>
      <c r="GW81" s="8">
        <v>-3.5170824634691206E-2</v>
      </c>
      <c r="GX81" s="8">
        <v>4.0209962828459844E-2</v>
      </c>
      <c r="GY81" s="8">
        <v>-5.0784536721779794E-2</v>
      </c>
      <c r="GZ81" s="8">
        <v>-4.489788037641565E-2</v>
      </c>
      <c r="HA81" s="8">
        <v>-5.0068198321319368E-2</v>
      </c>
      <c r="HB81" s="8">
        <v>5.8449242859521022E-2</v>
      </c>
      <c r="HC81" s="8">
        <v>-1.2780378479588517E-3</v>
      </c>
      <c r="HD81" s="8">
        <v>-1.831969174261508E-2</v>
      </c>
      <c r="HE81" s="8">
        <v>-5.8797339595431514E-2</v>
      </c>
      <c r="HF81" s="8">
        <v>-2.8064235090728973E-3</v>
      </c>
      <c r="HG81" s="8">
        <v>2.87985419984855E-2</v>
      </c>
      <c r="HH81" s="8">
        <v>2.3950170163931833E-2</v>
      </c>
      <c r="HI81" s="8">
        <v>1.2771400360884588E-2</v>
      </c>
      <c r="HJ81" s="8">
        <v>-1.5642521387999098E-2</v>
      </c>
      <c r="HK81" s="8">
        <v>-2.2206916598953769E-2</v>
      </c>
      <c r="HL81" s="8">
        <v>6.8140118827748619E-2</v>
      </c>
      <c r="HM81" s="8">
        <v>-8.0303217915748404E-3</v>
      </c>
      <c r="HN81" s="8">
        <v>8.6357667218512374E-2</v>
      </c>
      <c r="HO81" s="8">
        <v>5.2769230001920686E-2</v>
      </c>
      <c r="HP81" s="8">
        <v>1.0521966609607636E-2</v>
      </c>
      <c r="HQ81" s="8">
        <v>-1.943551577602598E-2</v>
      </c>
      <c r="HR81" s="8">
        <v>6.3818505890500032E-2</v>
      </c>
      <c r="HS81" s="8">
        <v>3.3949179788532624E-2</v>
      </c>
      <c r="HT81" s="8">
        <v>9.2266825608244063E-2</v>
      </c>
      <c r="HU81" s="8">
        <v>3.4115757423403809E-2</v>
      </c>
      <c r="HV81" s="8">
        <v>-5.1083191801469946E-2</v>
      </c>
      <c r="HW81" s="8">
        <v>3.4050699510776272E-2</v>
      </c>
      <c r="HX81" s="8">
        <v>5.3468288532600883E-2</v>
      </c>
      <c r="HY81" s="8">
        <v>2.3415475580284756E-2</v>
      </c>
      <c r="HZ81" s="8">
        <v>-4.8457529804319333E-2</v>
      </c>
      <c r="IA81" s="8">
        <v>4.1202416782899959E-2</v>
      </c>
      <c r="IB81" s="8">
        <v>6.6149304788393204E-4</v>
      </c>
      <c r="IC81" s="8">
        <v>-4.9534911901037593E-2</v>
      </c>
      <c r="ID81" s="8">
        <v>-6.2344563929944419E-3</v>
      </c>
      <c r="IE81" s="8">
        <v>4.9028099397008224E-2</v>
      </c>
      <c r="IF81" s="8">
        <v>7.8172377475441535E-2</v>
      </c>
      <c r="IG81" s="8">
        <v>2.0917601115927609E-2</v>
      </c>
      <c r="IH81" s="8">
        <v>-5.4982312595727778E-2</v>
      </c>
      <c r="II81" s="8">
        <v>3.4611198872846333E-2</v>
      </c>
      <c r="IJ81" s="8">
        <v>2.3274886106966597E-2</v>
      </c>
      <c r="IK81" s="8">
        <v>7.0119242114471486E-2</v>
      </c>
      <c r="IL81" s="8">
        <v>-1.7358839610929433E-2</v>
      </c>
      <c r="IM81" s="8">
        <v>-5.6014551215313846E-2</v>
      </c>
      <c r="IN81" s="8">
        <v>2.2973496420680584E-2</v>
      </c>
      <c r="IO81" s="8">
        <v>-0.10386489768594023</v>
      </c>
      <c r="IP81" s="8">
        <v>-2.1007149021961269E-3</v>
      </c>
      <c r="IQ81" s="8">
        <v>-3.3503259657739481E-2</v>
      </c>
      <c r="IR81" s="8">
        <v>-4.6201637727989381E-2</v>
      </c>
      <c r="IS81" s="8">
        <v>-2.2539230679148398E-2</v>
      </c>
      <c r="IT81" s="8">
        <v>3.3433379470959146E-2</v>
      </c>
    </row>
    <row r="82" spans="1:254" s="11" customFormat="1" x14ac:dyDescent="0.2">
      <c r="A82" s="10"/>
      <c r="B82" s="12">
        <v>7.25</v>
      </c>
      <c r="C82" s="2">
        <f t="shared" si="43"/>
        <v>1.6727722809623116E-2</v>
      </c>
      <c r="D82" s="3">
        <f t="shared" si="44"/>
        <v>4.5527526609358299E-2</v>
      </c>
      <c r="E82" s="8">
        <v>-9.9642371794345375E-3</v>
      </c>
      <c r="F82" s="8">
        <v>2.8321897219272668E-2</v>
      </c>
      <c r="G82" s="8">
        <v>2.5337669058764084E-2</v>
      </c>
      <c r="H82" s="8">
        <v>-3.5418805472888143E-2</v>
      </c>
      <c r="I82" s="8">
        <v>1.9121697196187726E-3</v>
      </c>
      <c r="J82" s="8">
        <v>6.2346981137016921E-2</v>
      </c>
      <c r="K82" s="8">
        <v>4.3352873651367724E-2</v>
      </c>
      <c r="L82" s="8">
        <v>8.5937668214296797E-2</v>
      </c>
      <c r="M82" s="8">
        <v>2.8238135331949382E-2</v>
      </c>
      <c r="N82" s="8">
        <v>2.0106564325179932E-2</v>
      </c>
      <c r="O82" s="8">
        <v>-2.5540043452951272E-2</v>
      </c>
      <c r="P82" s="8">
        <v>-2.9299974025699116E-2</v>
      </c>
      <c r="Q82" s="8">
        <v>-3.8363436172034471E-2</v>
      </c>
      <c r="R82" s="8">
        <v>2.6189520367874641E-2</v>
      </c>
      <c r="S82" s="8">
        <v>2.1231249793579904E-2</v>
      </c>
      <c r="T82" s="8">
        <v>1.1235289614933419E-2</v>
      </c>
      <c r="U82" s="8">
        <v>2.2574438542262515E-2</v>
      </c>
      <c r="V82" s="8">
        <v>-4.7064402317865961E-3</v>
      </c>
      <c r="W82" s="8">
        <v>1.9453375183437427E-2</v>
      </c>
      <c r="X82" s="8">
        <v>-5.1178128552723315E-2</v>
      </c>
      <c r="Y82" s="8">
        <v>-5.0836631898484058E-2</v>
      </c>
      <c r="Z82" s="8">
        <v>-2.6985915972074642E-2</v>
      </c>
      <c r="AA82" s="8">
        <v>-0.12396073351059002</v>
      </c>
      <c r="AB82" s="8">
        <v>1.4538109450908804E-2</v>
      </c>
      <c r="AC82" s="8">
        <v>2.7170401724044668E-2</v>
      </c>
      <c r="AD82" s="8">
        <v>-9.921547329297481E-3</v>
      </c>
      <c r="AE82" s="8">
        <v>3.549848735767322E-2</v>
      </c>
      <c r="AF82" s="8">
        <v>-7.9997914762314812E-2</v>
      </c>
      <c r="AG82" s="8">
        <v>-8.6225324723882557E-3</v>
      </c>
      <c r="AH82" s="8">
        <v>4.0533475367393879E-3</v>
      </c>
      <c r="AI82" s="8">
        <v>1.282475434686936E-2</v>
      </c>
      <c r="AJ82" s="8">
        <v>4.0208877030649098E-2</v>
      </c>
      <c r="AK82" s="8">
        <v>-2.0636171714366519E-2</v>
      </c>
      <c r="AL82" s="8">
        <v>1.3677896729990952E-2</v>
      </c>
      <c r="AM82" s="8">
        <v>6.4762759856095115E-2</v>
      </c>
      <c r="AN82" s="8">
        <v>-1.4202737425837469E-2</v>
      </c>
      <c r="AO82" s="8">
        <v>-7.4340296147879514E-3</v>
      </c>
      <c r="AP82" s="8">
        <v>4.0009129256832948E-2</v>
      </c>
      <c r="AQ82" s="8">
        <v>-9.9405361278451246E-2</v>
      </c>
      <c r="AR82" s="8">
        <v>4.1015218777391615E-2</v>
      </c>
      <c r="AS82" s="8">
        <v>-4.4281051580042141E-2</v>
      </c>
      <c r="AT82" s="8">
        <v>1.504066004143656E-3</v>
      </c>
      <c r="AU82" s="8">
        <v>-3.1634598580942225E-2</v>
      </c>
      <c r="AV82" s="8">
        <v>8.2783988987595591E-2</v>
      </c>
      <c r="AW82" s="8">
        <v>4.961377411955542E-3</v>
      </c>
      <c r="AX82" s="8">
        <v>-4.5902569304257082E-2</v>
      </c>
      <c r="AY82" s="8">
        <v>2.5464840188386101E-2</v>
      </c>
      <c r="AZ82" s="8">
        <v>-0.10945984195021796</v>
      </c>
      <c r="BA82" s="8">
        <v>-4.7587023623422306E-2</v>
      </c>
      <c r="BB82" s="8">
        <v>-1.747758185597359E-2</v>
      </c>
      <c r="BC82" s="8">
        <v>-4.2063908475872797E-2</v>
      </c>
      <c r="BD82" s="8">
        <v>-7.671187540133434E-3</v>
      </c>
      <c r="BE82" s="8">
        <v>1.1113970141120699E-2</v>
      </c>
      <c r="BF82" s="8">
        <v>1.0718979968846992E-2</v>
      </c>
      <c r="BG82" s="8">
        <v>-2.4945727384345695E-2</v>
      </c>
      <c r="BH82" s="8">
        <v>-9.1796037982617096E-2</v>
      </c>
      <c r="BI82" s="8">
        <v>5.3644463084232069E-2</v>
      </c>
      <c r="BJ82" s="8">
        <v>2.7796038495116998E-2</v>
      </c>
      <c r="BK82" s="8">
        <v>5.8935262192440052E-2</v>
      </c>
      <c r="BL82" s="8">
        <v>9.1923669837428362E-2</v>
      </c>
      <c r="BM82" s="8">
        <v>3.6912057264212539E-2</v>
      </c>
      <c r="BN82" s="8">
        <v>1.3417794970142449E-2</v>
      </c>
      <c r="BO82" s="8">
        <v>-2.359878690611833E-2</v>
      </c>
      <c r="BP82" s="8">
        <v>-4.2206929367226448E-2</v>
      </c>
      <c r="BQ82" s="8">
        <v>8.716240576915113E-2</v>
      </c>
      <c r="BR82" s="8">
        <v>2.0523071530564124E-2</v>
      </c>
      <c r="BS82" s="8">
        <v>4.5527526609358299E-2</v>
      </c>
      <c r="BT82" s="8">
        <v>-2.5755262914453986E-2</v>
      </c>
      <c r="BU82" s="8">
        <v>3.4239902843130415E-2</v>
      </c>
      <c r="BV82" s="8">
        <v>-3.3151511704495512E-2</v>
      </c>
      <c r="BW82" s="8">
        <v>5.1159698219353594E-2</v>
      </c>
      <c r="BX82" s="8">
        <v>-6.2800133798149568E-2</v>
      </c>
      <c r="BY82" s="8">
        <v>1.2916391096001179E-3</v>
      </c>
      <c r="BZ82" s="8">
        <v>-3.588708298882852E-2</v>
      </c>
      <c r="CA82" s="8">
        <v>-9.5825292192420475E-2</v>
      </c>
      <c r="CB82" s="8">
        <v>2.4002589597987262E-2</v>
      </c>
      <c r="CC82" s="8">
        <v>2.9801551858036041E-2</v>
      </c>
      <c r="CD82" s="8">
        <v>4.0951989565222835E-2</v>
      </c>
      <c r="CE82" s="8">
        <v>1.5216038780430707E-2</v>
      </c>
      <c r="CF82" s="8">
        <v>2.8809425737527872E-2</v>
      </c>
      <c r="CG82" s="8">
        <v>3.779110701720978E-2</v>
      </c>
      <c r="CH82" s="8">
        <v>3.0537004747405477E-2</v>
      </c>
      <c r="CI82" s="8">
        <v>-4.7553518059952352E-2</v>
      </c>
      <c r="CJ82" s="8">
        <v>9.7508960263359146E-3</v>
      </c>
      <c r="CK82" s="8">
        <v>-3.218821028459487E-2</v>
      </c>
      <c r="CL82" s="8">
        <v>-3.1837036525820039E-2</v>
      </c>
      <c r="CM82" s="8">
        <v>4.6967183105897953E-2</v>
      </c>
      <c r="CN82" s="8">
        <v>-2.2255905939031456E-2</v>
      </c>
      <c r="CO82" s="8">
        <v>-4.5470900766704514E-3</v>
      </c>
      <c r="CP82" s="8">
        <v>2.7021191200230471E-2</v>
      </c>
      <c r="CQ82" s="8">
        <v>0.12964664265584427</v>
      </c>
      <c r="CR82" s="8">
        <v>2.6305582820574797E-2</v>
      </c>
      <c r="CS82" s="8">
        <v>-6.0018572207254497E-2</v>
      </c>
      <c r="CT82" s="8">
        <v>-2.5085102302051826E-2</v>
      </c>
      <c r="CU82" s="8">
        <v>5.2592628405658232E-2</v>
      </c>
      <c r="CV82" s="8">
        <v>-1.9150243364872976E-2</v>
      </c>
      <c r="CW82" s="8">
        <v>-3.2560145138523677E-2</v>
      </c>
      <c r="CX82" s="8">
        <v>-3.3538506455169009E-2</v>
      </c>
      <c r="CY82" s="8">
        <v>6.2244523772278321E-2</v>
      </c>
      <c r="CZ82" s="8">
        <v>6.2060389420255463E-2</v>
      </c>
      <c r="DA82" s="8">
        <v>3.2617262422711513E-2</v>
      </c>
      <c r="DB82" s="8">
        <v>-5.2350925125193626E-2</v>
      </c>
      <c r="DC82" s="8">
        <v>1.462962578669752E-2</v>
      </c>
      <c r="DD82" s="8">
        <v>-3.1827510996319336E-2</v>
      </c>
      <c r="DE82" s="8">
        <v>-6.8767269341837453E-2</v>
      </c>
      <c r="DF82" s="8">
        <v>9.175853747389151E-2</v>
      </c>
      <c r="DG82" s="8">
        <v>-9.1276327049913147E-2</v>
      </c>
      <c r="DH82" s="8">
        <v>-4.9392040069490661E-2</v>
      </c>
      <c r="DI82" s="8">
        <v>-1.0390513566603587E-2</v>
      </c>
      <c r="DJ82" s="8">
        <v>1.6533384311945676E-2</v>
      </c>
      <c r="DK82" s="8">
        <v>3.069165727918563E-2</v>
      </c>
      <c r="DL82" s="8">
        <v>9.8233743623786507E-3</v>
      </c>
      <c r="DM82" s="8">
        <v>-1.4239305083073639E-2</v>
      </c>
      <c r="DN82" s="8">
        <v>2.8525315420404568E-2</v>
      </c>
      <c r="DO82" s="8">
        <v>-9.6857503125068439E-2</v>
      </c>
      <c r="DP82" s="8">
        <v>-5.3452403853268271E-3</v>
      </c>
      <c r="DQ82" s="8">
        <v>2.6191086339373143E-2</v>
      </c>
      <c r="DR82" s="8">
        <v>-1.1084245446208701E-2</v>
      </c>
      <c r="DS82" s="8">
        <v>-8.7697711625497332E-3</v>
      </c>
      <c r="DT82" s="8">
        <v>1.5853666502353064E-2</v>
      </c>
      <c r="DU82" s="8">
        <v>-3.722109899981535E-2</v>
      </c>
      <c r="DV82" s="8">
        <v>2.7779132599277556E-2</v>
      </c>
      <c r="DW82" s="8">
        <v>1.4548322095361693E-2</v>
      </c>
      <c r="DX82" s="8">
        <v>4.4134573878563038E-2</v>
      </c>
      <c r="DY82" s="8">
        <v>-4.1760208657000489E-2</v>
      </c>
      <c r="DZ82" s="8">
        <v>-8.7355365395819048E-2</v>
      </c>
      <c r="EA82" s="8">
        <v>1.7812044092808232E-2</v>
      </c>
      <c r="EB82" s="8">
        <v>4.2844325246104709E-3</v>
      </c>
      <c r="EC82" s="8">
        <v>1.5418218109092774E-2</v>
      </c>
      <c r="ED82" s="8">
        <v>1.4717626840393544E-2</v>
      </c>
      <c r="EE82" s="8">
        <v>-1.9096289673223799E-2</v>
      </c>
      <c r="EF82" s="8">
        <v>-1.5866349361886911E-2</v>
      </c>
      <c r="EG82" s="8">
        <v>-9.1623393814463105E-3</v>
      </c>
      <c r="EH82" s="8">
        <v>-1.6999565242133891E-2</v>
      </c>
      <c r="EI82" s="8">
        <v>-8.5201185837839033E-2</v>
      </c>
      <c r="EJ82" s="8">
        <v>5.6592408712455022E-3</v>
      </c>
      <c r="EK82" s="8">
        <v>-3.8968373838581427E-2</v>
      </c>
      <c r="EL82" s="8">
        <v>-1.7343685499466882E-2</v>
      </c>
      <c r="EM82" s="8">
        <v>-1.1972676454468367E-2</v>
      </c>
      <c r="EN82" s="8">
        <v>9.9422708722571307E-4</v>
      </c>
      <c r="EO82" s="8">
        <v>-3.1044314352786095E-2</v>
      </c>
      <c r="EP82" s="8">
        <v>1.2858391080846798E-2</v>
      </c>
      <c r="EQ82" s="8">
        <v>2.9079042392733262E-2</v>
      </c>
      <c r="ER82" s="8">
        <v>-3.2231283130905175E-2</v>
      </c>
      <c r="ES82" s="8">
        <v>0.10968550933780297</v>
      </c>
      <c r="ET82" s="8">
        <v>3.6364832958781401E-2</v>
      </c>
      <c r="EU82" s="8">
        <v>6.9009198264610438E-3</v>
      </c>
      <c r="EV82" s="8">
        <v>-2.5757470991178005E-2</v>
      </c>
      <c r="EW82" s="8">
        <v>6.9458597530884791E-3</v>
      </c>
      <c r="EX82" s="8">
        <v>3.1216374480247944E-3</v>
      </c>
      <c r="EY82" s="8">
        <v>8.7154407338273232E-3</v>
      </c>
      <c r="EZ82" s="8">
        <v>-1.832559179114096E-3</v>
      </c>
      <c r="FA82" s="8">
        <v>-2.5918849018829349E-2</v>
      </c>
      <c r="FB82" s="8">
        <v>-8.0427293114691545E-3</v>
      </c>
      <c r="FC82" s="8">
        <v>-7.3394690297862955E-2</v>
      </c>
      <c r="FD82" s="8">
        <v>4.1376074966168214E-2</v>
      </c>
      <c r="FE82" s="8">
        <v>2.546467069422334E-2</v>
      </c>
      <c r="FF82" s="8">
        <v>4.4774008643374275E-3</v>
      </c>
      <c r="FG82" s="8">
        <v>1.6366649491371926E-2</v>
      </c>
      <c r="FH82" s="8">
        <v>4.6208009877164474E-2</v>
      </c>
      <c r="FI82" s="8">
        <v>-1.874888226090296E-2</v>
      </c>
      <c r="FJ82" s="8">
        <v>6.4114282747088081E-3</v>
      </c>
      <c r="FK82" s="8">
        <v>-2.0626801021753904E-2</v>
      </c>
      <c r="FL82" s="8">
        <v>8.9044730478340106E-3</v>
      </c>
      <c r="FM82" s="8">
        <v>4.8844827035876948E-2</v>
      </c>
      <c r="FN82" s="8">
        <v>-5.3003079164581079E-2</v>
      </c>
      <c r="FO82" s="8">
        <v>-8.1077224120639224E-3</v>
      </c>
      <c r="FP82" s="8">
        <v>7.7059201580676751E-3</v>
      </c>
      <c r="FQ82" s="8">
        <v>-6.4980051709935677E-2</v>
      </c>
      <c r="FR82" s="8">
        <v>1.6051332937529805E-2</v>
      </c>
      <c r="FS82" s="8">
        <v>1.1571291402883516E-2</v>
      </c>
      <c r="FT82" s="8">
        <v>-4.1240852235026534E-2</v>
      </c>
      <c r="FU82" s="8">
        <v>1.7025435638708925E-2</v>
      </c>
      <c r="FV82" s="8">
        <v>-2.5551259498853285E-3</v>
      </c>
      <c r="FW82" s="8">
        <v>1.1729964966510437E-2</v>
      </c>
      <c r="FX82" s="8">
        <v>-5.2476921241660965E-2</v>
      </c>
      <c r="FY82" s="8">
        <v>-2.8167577542298317E-2</v>
      </c>
      <c r="FZ82" s="8">
        <v>-5.4684297253004208E-2</v>
      </c>
      <c r="GA82" s="8">
        <v>2.1647555475838381E-2</v>
      </c>
      <c r="GB82" s="8">
        <v>4.1602776978066497E-2</v>
      </c>
      <c r="GC82" s="8">
        <v>2.5467131941945276E-3</v>
      </c>
      <c r="GD82" s="8">
        <v>-7.3801395601933439E-3</v>
      </c>
      <c r="GE82" s="8">
        <v>3.2292232087000355E-2</v>
      </c>
      <c r="GF82" s="8">
        <v>2.8524679343044895E-2</v>
      </c>
      <c r="GG82" s="8">
        <v>-9.5929853377175897E-2</v>
      </c>
      <c r="GH82" s="8">
        <v>-2.8701844540176713E-2</v>
      </c>
      <c r="GI82" s="8">
        <v>-2.5717885950664848E-2</v>
      </c>
      <c r="GJ82" s="8">
        <v>-2.6779824729355972E-2</v>
      </c>
      <c r="GK82" s="8">
        <v>5.9168589506023134E-2</v>
      </c>
      <c r="GL82" s="8">
        <v>-4.9759846084546325E-2</v>
      </c>
      <c r="GM82" s="8">
        <v>-2.288454100838061E-2</v>
      </c>
      <c r="GN82" s="8">
        <v>6.1310644819075333E-3</v>
      </c>
      <c r="GO82" s="8">
        <v>5.0791503662604154E-3</v>
      </c>
      <c r="GP82" s="8">
        <v>7.0820520449136115E-2</v>
      </c>
      <c r="GQ82" s="8">
        <v>-1.7459677498181447E-2</v>
      </c>
      <c r="GR82" s="8">
        <v>4.1805746499660817E-2</v>
      </c>
      <c r="GS82" s="8">
        <v>2.3814346778757128E-2</v>
      </c>
      <c r="GT82" s="8">
        <v>-8.1964082207574451E-2</v>
      </c>
      <c r="GU82" s="8">
        <v>-1.2238225887731907E-2</v>
      </c>
      <c r="GV82" s="8">
        <v>-3.0484648043218376E-2</v>
      </c>
      <c r="GW82" s="8">
        <v>-3.1205911634559241E-2</v>
      </c>
      <c r="GX82" s="8">
        <v>3.4575912080768489E-2</v>
      </c>
      <c r="GY82" s="8">
        <v>-4.3230807655616682E-2</v>
      </c>
      <c r="GZ82" s="8">
        <v>-4.0345667803466836E-2</v>
      </c>
      <c r="HA82" s="8">
        <v>-4.1651020298326916E-2</v>
      </c>
      <c r="HB82" s="8">
        <v>4.5218279892910079E-2</v>
      </c>
      <c r="HC82" s="8">
        <v>-2.2940986089246801E-2</v>
      </c>
      <c r="HD82" s="8">
        <v>-4.3646692338366655E-2</v>
      </c>
      <c r="HE82" s="8">
        <v>-4.5428452564883634E-2</v>
      </c>
      <c r="HF82" s="8">
        <v>-2.0562032064631586E-3</v>
      </c>
      <c r="HG82" s="8">
        <v>2.4127494528865978E-2</v>
      </c>
      <c r="HH82" s="8">
        <v>2.146585174087054E-2</v>
      </c>
      <c r="HI82" s="8">
        <v>2.5389687264536248E-2</v>
      </c>
      <c r="HJ82" s="8">
        <v>-2.9862997095039728E-2</v>
      </c>
      <c r="HK82" s="8">
        <v>-1.2289916071114876E-2</v>
      </c>
      <c r="HL82" s="8">
        <v>7.2175247856637897E-2</v>
      </c>
      <c r="HM82" s="8">
        <v>-6.3294153066066339E-3</v>
      </c>
      <c r="HN82" s="8">
        <v>6.9993915987918071E-2</v>
      </c>
      <c r="HO82" s="8">
        <v>6.2592123553380036E-2</v>
      </c>
      <c r="HP82" s="8">
        <v>2.1645814809012259E-2</v>
      </c>
      <c r="HQ82" s="8">
        <v>-2.1551746300529168E-2</v>
      </c>
      <c r="HR82" s="8">
        <v>3.4721436863051902E-2</v>
      </c>
      <c r="HS82" s="8">
        <v>2.6785719088644605E-2</v>
      </c>
      <c r="HT82" s="8">
        <v>9.5383574200093552E-2</v>
      </c>
      <c r="HU82" s="8">
        <v>3.8986520694625104E-2</v>
      </c>
      <c r="HV82" s="8">
        <v>-5.196028678826993E-2</v>
      </c>
      <c r="HW82" s="8">
        <v>2.1545887683893178E-2</v>
      </c>
      <c r="HX82" s="8">
        <v>4.4536251539557203E-2</v>
      </c>
      <c r="HY82" s="8">
        <v>2.9292149480550617E-2</v>
      </c>
      <c r="HZ82" s="8">
        <v>-2.1771219335463832E-2</v>
      </c>
      <c r="IA82" s="8">
        <v>4.352406490627958E-2</v>
      </c>
      <c r="IB82" s="8">
        <v>-1.3078470935661612E-2</v>
      </c>
      <c r="IC82" s="8">
        <v>-5.588604634353668E-2</v>
      </c>
      <c r="ID82" s="8">
        <v>-8.8227809454697603E-3</v>
      </c>
      <c r="IE82" s="8">
        <v>4.1771893701325141E-2</v>
      </c>
      <c r="IF82" s="8">
        <v>6.844273090486383E-2</v>
      </c>
      <c r="IG82" s="8">
        <v>1.2052494453462181E-2</v>
      </c>
      <c r="IH82" s="8">
        <v>-4.6140891050908905E-2</v>
      </c>
      <c r="II82" s="8">
        <v>3.7292523638445013E-2</v>
      </c>
      <c r="IJ82" s="8">
        <v>2.1698914296433974E-2</v>
      </c>
      <c r="IK82" s="8">
        <v>4.457410157123412E-2</v>
      </c>
      <c r="IL82" s="8">
        <v>-1.0033653589683972E-2</v>
      </c>
      <c r="IM82" s="8">
        <v>-6.066959456092802E-2</v>
      </c>
      <c r="IN82" s="8">
        <v>1.2843526809888761E-2</v>
      </c>
      <c r="IO82" s="8">
        <v>-0.10622889844593883</v>
      </c>
      <c r="IP82" s="8">
        <v>7.2601123296553161E-3</v>
      </c>
      <c r="IQ82" s="8">
        <v>-2.3028951579602969E-2</v>
      </c>
      <c r="IR82" s="8">
        <v>-5.3358131748720172E-2</v>
      </c>
      <c r="IS82" s="8">
        <v>-1.5733850214960571E-2</v>
      </c>
      <c r="IT82" s="8">
        <v>3.0043944920091242E-2</v>
      </c>
    </row>
    <row r="83" spans="1:254" s="11" customFormat="1" x14ac:dyDescent="0.2">
      <c r="A83" s="10"/>
      <c r="B83" s="12">
        <v>7.5</v>
      </c>
      <c r="C83" s="2">
        <f t="shared" si="43"/>
        <v>1.5562282615920279E-2</v>
      </c>
      <c r="D83" s="3">
        <f t="shared" si="44"/>
        <v>4.9058215453212969E-2</v>
      </c>
      <c r="E83" s="8">
        <v>-8.9430466709865264E-3</v>
      </c>
      <c r="F83" s="8">
        <v>3.9645304493304057E-2</v>
      </c>
      <c r="G83" s="8">
        <v>4.3564646832199808E-2</v>
      </c>
      <c r="H83" s="8">
        <v>-1.292037229331075E-2</v>
      </c>
      <c r="I83" s="8">
        <v>-5.591035476860684E-4</v>
      </c>
      <c r="J83" s="8">
        <v>7.5538166556165548E-2</v>
      </c>
      <c r="K83" s="8">
        <v>6.2042882526729834E-2</v>
      </c>
      <c r="L83" s="8">
        <v>9.2736208707699108E-2</v>
      </c>
      <c r="M83" s="8">
        <v>3.9315920009741115E-2</v>
      </c>
      <c r="N83" s="8">
        <v>2.0969980524237028E-2</v>
      </c>
      <c r="O83" s="8">
        <v>-2.8021630475701276E-2</v>
      </c>
      <c r="P83" s="8">
        <v>-4.1921480037129519E-2</v>
      </c>
      <c r="Q83" s="8">
        <v>-3.2177760492546434E-2</v>
      </c>
      <c r="R83" s="8">
        <v>4.488709379154826E-3</v>
      </c>
      <c r="S83" s="8">
        <v>9.7753725238270417E-3</v>
      </c>
      <c r="T83" s="8">
        <v>1.8315479674467505E-4</v>
      </c>
      <c r="U83" s="8">
        <v>2.111193100229232E-2</v>
      </c>
      <c r="V83" s="8">
        <v>-2.7238706397575418E-4</v>
      </c>
      <c r="W83" s="8">
        <v>1.1069162503967889E-2</v>
      </c>
      <c r="X83" s="8">
        <v>-3.646015939063979E-2</v>
      </c>
      <c r="Y83" s="8">
        <v>-5.1908753213550429E-2</v>
      </c>
      <c r="Z83" s="8">
        <v>-1.328125255884624E-2</v>
      </c>
      <c r="AA83" s="8">
        <v>-0.1086300757305243</v>
      </c>
      <c r="AB83" s="8">
        <v>1.8111311710712175E-2</v>
      </c>
      <c r="AC83" s="8">
        <v>1.9381382561504665E-2</v>
      </c>
      <c r="AD83" s="8">
        <v>-2.1124078233004218E-2</v>
      </c>
      <c r="AE83" s="8">
        <v>1.5105237161166407E-2</v>
      </c>
      <c r="AF83" s="8">
        <v>-7.1264976679343367E-2</v>
      </c>
      <c r="AG83" s="8">
        <v>-1.0286183971223092E-2</v>
      </c>
      <c r="AH83" s="8">
        <v>7.0565193704097418E-4</v>
      </c>
      <c r="AI83" s="8">
        <v>7.7053574555179111E-3</v>
      </c>
      <c r="AJ83" s="8">
        <v>3.7539819085511059E-2</v>
      </c>
      <c r="AK83" s="8">
        <v>-1.8483816355140043E-2</v>
      </c>
      <c r="AL83" s="8">
        <v>4.5223990620698457E-3</v>
      </c>
      <c r="AM83" s="8">
        <v>4.9610397217704535E-2</v>
      </c>
      <c r="AN83" s="8">
        <v>-2.2691673459603962E-2</v>
      </c>
      <c r="AO83" s="8">
        <v>7.1376222267655054E-4</v>
      </c>
      <c r="AP83" s="8">
        <v>4.227444573516688E-2</v>
      </c>
      <c r="AQ83" s="8">
        <v>-9.5735076448113646E-2</v>
      </c>
      <c r="AR83" s="8">
        <v>3.1530756612276473E-2</v>
      </c>
      <c r="AS83" s="8">
        <v>-4.6027171284817592E-2</v>
      </c>
      <c r="AT83" s="8">
        <v>-1.8601827376182323E-3</v>
      </c>
      <c r="AU83" s="8">
        <v>-2.2156422602394032E-2</v>
      </c>
      <c r="AV83" s="8">
        <v>6.4864315505671274E-2</v>
      </c>
      <c r="AW83" s="8">
        <v>9.7064562488148598E-3</v>
      </c>
      <c r="AX83" s="8">
        <v>-2.7476056807375748E-2</v>
      </c>
      <c r="AY83" s="8">
        <v>2.1843766808798515E-2</v>
      </c>
      <c r="AZ83" s="8">
        <v>-9.6770816053658615E-2</v>
      </c>
      <c r="BA83" s="8">
        <v>-5.0186104835555786E-2</v>
      </c>
      <c r="BB83" s="8">
        <v>-2.6050113844462736E-2</v>
      </c>
      <c r="BC83" s="8">
        <v>-2.9153012562155009E-2</v>
      </c>
      <c r="BD83" s="8">
        <v>-4.2308032876375995E-3</v>
      </c>
      <c r="BE83" s="8">
        <v>2.3233498685577059E-2</v>
      </c>
      <c r="BF83" s="8">
        <v>2.1287701022481523E-2</v>
      </c>
      <c r="BG83" s="8">
        <v>-1.4807219928439599E-2</v>
      </c>
      <c r="BH83" s="8">
        <v>-9.178663770276789E-2</v>
      </c>
      <c r="BI83" s="8">
        <v>5.3573975504705842E-2</v>
      </c>
      <c r="BJ83" s="8">
        <v>2.5385906112121881E-2</v>
      </c>
      <c r="BK83" s="8">
        <v>5.1856883108774177E-2</v>
      </c>
      <c r="BL83" s="8">
        <v>0.10244337959536583</v>
      </c>
      <c r="BM83" s="8">
        <v>2.4152998477807081E-2</v>
      </c>
      <c r="BN83" s="8">
        <v>-3.3630147817086814E-3</v>
      </c>
      <c r="BO83" s="8">
        <v>-3.3822934807977462E-2</v>
      </c>
      <c r="BP83" s="8">
        <v>-3.6781806721193105E-2</v>
      </c>
      <c r="BQ83" s="8">
        <v>8.6214313605157661E-2</v>
      </c>
      <c r="BR83" s="8">
        <v>2.8558388926967493E-3</v>
      </c>
      <c r="BS83" s="8">
        <v>3.8850454450734165E-2</v>
      </c>
      <c r="BT83" s="8">
        <v>-1.718339417854528E-2</v>
      </c>
      <c r="BU83" s="8">
        <v>6.5162718534311798E-2</v>
      </c>
      <c r="BV83" s="8">
        <v>-3.176084151615223E-2</v>
      </c>
      <c r="BW83" s="8">
        <v>5.0417551088690449E-2</v>
      </c>
      <c r="BX83" s="8">
        <v>-4.2501505048330029E-2</v>
      </c>
      <c r="BY83" s="8">
        <v>9.0382640735397202E-3</v>
      </c>
      <c r="BZ83" s="8">
        <v>-3.7410597474442656E-2</v>
      </c>
      <c r="CA83" s="8">
        <v>-0.10081492216965554</v>
      </c>
      <c r="CB83" s="8">
        <v>2.4969842944324167E-3</v>
      </c>
      <c r="CC83" s="8">
        <v>2.3403265016023522E-2</v>
      </c>
      <c r="CD83" s="8">
        <v>2.5091094183202267E-2</v>
      </c>
      <c r="CE83" s="8">
        <v>1.4227696746562948E-2</v>
      </c>
      <c r="CF83" s="8">
        <v>1.6255341457293182E-2</v>
      </c>
      <c r="CG83" s="8">
        <v>3.0150052178468612E-2</v>
      </c>
      <c r="CH83" s="8">
        <v>1.5099158562050116E-2</v>
      </c>
      <c r="CI83" s="8">
        <v>-2.9542766149715044E-2</v>
      </c>
      <c r="CJ83" s="8">
        <v>2.0699712154840288E-2</v>
      </c>
      <c r="CK83" s="8">
        <v>-1.4651628001647585E-2</v>
      </c>
      <c r="CL83" s="8">
        <v>-3.4575417339737846E-2</v>
      </c>
      <c r="CM83" s="8">
        <v>3.4319073324261817E-2</v>
      </c>
      <c r="CN83" s="8">
        <v>5.8806255605339808E-4</v>
      </c>
      <c r="CO83" s="8">
        <v>-5.1327219976099459E-3</v>
      </c>
      <c r="CP83" s="8">
        <v>1.6520820379097773E-2</v>
      </c>
      <c r="CQ83" s="8">
        <v>0.12804590461062823</v>
      </c>
      <c r="CR83" s="8">
        <v>-3.8972757915724104E-3</v>
      </c>
      <c r="CS83" s="8">
        <v>-5.3373611459355833E-2</v>
      </c>
      <c r="CT83" s="8">
        <v>-2.5139133207289499E-2</v>
      </c>
      <c r="CU83" s="8">
        <v>6.0423737906112843E-2</v>
      </c>
      <c r="CV83" s="8">
        <v>-2.5801571745337079E-2</v>
      </c>
      <c r="CW83" s="8">
        <v>-3.5582127895089646E-2</v>
      </c>
      <c r="CX83" s="8">
        <v>-1.9917978985685786E-2</v>
      </c>
      <c r="CY83" s="8">
        <v>6.299599820699775E-2</v>
      </c>
      <c r="CZ83" s="8">
        <v>7.1585993299131206E-2</v>
      </c>
      <c r="DA83" s="8">
        <v>2.733478984655302E-2</v>
      </c>
      <c r="DB83" s="8">
        <v>-5.6918773224613403E-2</v>
      </c>
      <c r="DC83" s="8">
        <v>2.2247590539346829E-4</v>
      </c>
      <c r="DD83" s="8">
        <v>-3.2998827351862825E-2</v>
      </c>
      <c r="DE83" s="8">
        <v>-6.3525306751363739E-2</v>
      </c>
      <c r="DF83" s="8">
        <v>6.275715240252322E-2</v>
      </c>
      <c r="DG83" s="8">
        <v>-0.1166688230098025</v>
      </c>
      <c r="DH83" s="8">
        <v>-4.8040265558905101E-2</v>
      </c>
      <c r="DI83" s="8">
        <v>-9.4537230996101784E-3</v>
      </c>
      <c r="DJ83" s="8">
        <v>1.0208102907335495E-2</v>
      </c>
      <c r="DK83" s="8">
        <v>2.0628287831504638E-2</v>
      </c>
      <c r="DL83" s="8">
        <v>7.8302144957208136E-3</v>
      </c>
      <c r="DM83" s="8">
        <v>-2.2312665605010565E-2</v>
      </c>
      <c r="DN83" s="8">
        <v>2.4162580647552792E-2</v>
      </c>
      <c r="DO83" s="8">
        <v>-9.3460755480670316E-2</v>
      </c>
      <c r="DP83" s="8">
        <v>1.31156612531107E-2</v>
      </c>
      <c r="DQ83" s="8">
        <v>8.011645764297054E-3</v>
      </c>
      <c r="DR83" s="8">
        <v>-4.3437674286930378E-3</v>
      </c>
      <c r="DS83" s="8">
        <v>9.4413400107535295E-3</v>
      </c>
      <c r="DT83" s="8">
        <v>1.997702879073085E-2</v>
      </c>
      <c r="DU83" s="8">
        <v>-3.7784116908064908E-2</v>
      </c>
      <c r="DV83" s="8">
        <v>2.5878053346261309E-2</v>
      </c>
      <c r="DW83" s="8">
        <v>2.6980707378453483E-2</v>
      </c>
      <c r="DX83" s="8">
        <v>5.1049675907513553E-2</v>
      </c>
      <c r="DY83" s="8">
        <v>-4.1141407327274615E-2</v>
      </c>
      <c r="DZ83" s="8">
        <v>-6.6572859343434321E-2</v>
      </c>
      <c r="EA83" s="8">
        <v>1.2805954980251527E-2</v>
      </c>
      <c r="EB83" s="8">
        <v>-1.061113801318378E-2</v>
      </c>
      <c r="EC83" s="8">
        <v>3.423496028922296E-2</v>
      </c>
      <c r="ED83" s="8">
        <v>2.0283209722995091E-2</v>
      </c>
      <c r="EE83" s="8">
        <v>-2.654019776360185E-2</v>
      </c>
      <c r="EF83" s="8">
        <v>-2.0632723915974482E-2</v>
      </c>
      <c r="EG83" s="8">
        <v>1.2069031555568183E-2</v>
      </c>
      <c r="EH83" s="8">
        <v>-4.1538667753417274E-2</v>
      </c>
      <c r="EI83" s="8">
        <v>-7.9515978294076833E-2</v>
      </c>
      <c r="EJ83" s="8">
        <v>6.5064611544618789E-3</v>
      </c>
      <c r="EK83" s="8">
        <v>-3.515449125874931E-2</v>
      </c>
      <c r="EL83" s="8">
        <v>-1.2231235143445526E-2</v>
      </c>
      <c r="EM83" s="8">
        <v>5.0202411285718979E-3</v>
      </c>
      <c r="EN83" s="8">
        <v>-9.4650436029807272E-3</v>
      </c>
      <c r="EO83" s="8">
        <v>-2.3886946696952738E-2</v>
      </c>
      <c r="EP83" s="8">
        <v>1.1905696315366643E-2</v>
      </c>
      <c r="EQ83" s="8">
        <v>4.4229128593994915E-2</v>
      </c>
      <c r="ER83" s="8">
        <v>-1.3248910348790166E-2</v>
      </c>
      <c r="ES83" s="8">
        <v>9.3569998854200087E-2</v>
      </c>
      <c r="ET83" s="8">
        <v>9.8903843542277187E-3</v>
      </c>
      <c r="EU83" s="8">
        <v>2.0253957884728974E-3</v>
      </c>
      <c r="EV83" s="8">
        <v>-1.972016610363804E-2</v>
      </c>
      <c r="EW83" s="8">
        <v>1.9751587512169821E-2</v>
      </c>
      <c r="EX83" s="8">
        <v>3.8282325451380328E-4</v>
      </c>
      <c r="EY83" s="8">
        <v>1.5747949011483742E-2</v>
      </c>
      <c r="EZ83" s="8">
        <v>5.6687863400173844E-3</v>
      </c>
      <c r="FA83" s="8">
        <v>-1.9239582064165137E-2</v>
      </c>
      <c r="FB83" s="8">
        <v>-1.4330611995056058E-3</v>
      </c>
      <c r="FC83" s="8">
        <v>-8.969510093787951E-2</v>
      </c>
      <c r="FD83" s="8">
        <v>4.2969210613405806E-2</v>
      </c>
      <c r="FE83" s="8">
        <v>2.8520697754868457E-2</v>
      </c>
      <c r="FF83" s="8">
        <v>7.5479453906425187E-3</v>
      </c>
      <c r="FG83" s="8">
        <v>1.0303073571240995E-2</v>
      </c>
      <c r="FH83" s="8">
        <v>3.0896714253769886E-2</v>
      </c>
      <c r="FI83" s="8">
        <v>-1.3703669305647634E-2</v>
      </c>
      <c r="FJ83" s="8">
        <v>-2.3511011650251268E-4</v>
      </c>
      <c r="FK83" s="8">
        <v>-3.0625260541130031E-2</v>
      </c>
      <c r="FL83" s="8">
        <v>1.5109587920088943E-2</v>
      </c>
      <c r="FM83" s="8">
        <v>3.3870728735729522E-2</v>
      </c>
      <c r="FN83" s="8">
        <v>-5.9523000510481372E-2</v>
      </c>
      <c r="FO83" s="8">
        <v>-1.7350503028026987E-2</v>
      </c>
      <c r="FP83" s="8">
        <v>1.4700656859151742E-2</v>
      </c>
      <c r="FQ83" s="8">
        <v>-6.2852122529685542E-2</v>
      </c>
      <c r="FR83" s="8">
        <v>2.6636411784105127E-2</v>
      </c>
      <c r="FS83" s="8">
        <v>-8.2838941987040532E-3</v>
      </c>
      <c r="FT83" s="8">
        <v>-4.4047294940497278E-2</v>
      </c>
      <c r="FU83" s="8">
        <v>1.913408506088668E-2</v>
      </c>
      <c r="FV83" s="8">
        <v>8.54605412853289E-3</v>
      </c>
      <c r="FW83" s="8">
        <v>2.6195683982946055E-2</v>
      </c>
      <c r="FX83" s="8">
        <v>-3.5632210786737589E-2</v>
      </c>
      <c r="FY83" s="8">
        <v>-1.9964002119167296E-3</v>
      </c>
      <c r="FZ83" s="8">
        <v>-4.3100300869154173E-2</v>
      </c>
      <c r="GA83" s="8">
        <v>5.0274467917768711E-3</v>
      </c>
      <c r="GB83" s="8">
        <v>4.7396031601504587E-2</v>
      </c>
      <c r="GC83" s="8">
        <v>1.1929252999924075E-2</v>
      </c>
      <c r="GD83" s="8">
        <v>-9.8005780718130042E-3</v>
      </c>
      <c r="GE83" s="8">
        <v>2.8581411629535147E-2</v>
      </c>
      <c r="GF83" s="8">
        <v>4.2307541945134863E-2</v>
      </c>
      <c r="GG83" s="8">
        <v>-8.8664290374166649E-2</v>
      </c>
      <c r="GH83" s="8">
        <v>-2.3432081667709576E-3</v>
      </c>
      <c r="GI83" s="8">
        <v>-3.1749158379011905E-2</v>
      </c>
      <c r="GJ83" s="8">
        <v>-4.8100906568336071E-2</v>
      </c>
      <c r="GK83" s="8">
        <v>5.5458870580882377E-2</v>
      </c>
      <c r="GL83" s="8">
        <v>-5.9465866183052177E-2</v>
      </c>
      <c r="GM83" s="8">
        <v>-4.4291402076239161E-3</v>
      </c>
      <c r="GN83" s="8">
        <v>8.8107468677843387E-3</v>
      </c>
      <c r="GO83" s="8">
        <v>-1.0043966918444822E-2</v>
      </c>
      <c r="GP83" s="8">
        <v>6.8415571183107315E-2</v>
      </c>
      <c r="GQ83" s="8">
        <v>-1.7955197895226926E-3</v>
      </c>
      <c r="GR83" s="8">
        <v>5.414854469500463E-2</v>
      </c>
      <c r="GS83" s="8">
        <v>1.5101610180867267E-2</v>
      </c>
      <c r="GT83" s="8">
        <v>-8.0355018941521056E-2</v>
      </c>
      <c r="GU83" s="8">
        <v>-6.2543054640084167E-3</v>
      </c>
      <c r="GV83" s="8">
        <v>-4.1069514887582162E-2</v>
      </c>
      <c r="GW83" s="8">
        <v>-1.1047844736756476E-2</v>
      </c>
      <c r="GX83" s="8">
        <v>3.0522101499300999E-2</v>
      </c>
      <c r="GY83" s="8">
        <v>-3.7617021728892752E-2</v>
      </c>
      <c r="GZ83" s="8">
        <v>-2.3376542082913732E-2</v>
      </c>
      <c r="HA83" s="8">
        <v>-2.4090703495535826E-2</v>
      </c>
      <c r="HB83" s="8">
        <v>4.7493702154904699E-2</v>
      </c>
      <c r="HC83" s="8">
        <v>-1.9892678887459173E-2</v>
      </c>
      <c r="HD83" s="8">
        <v>-3.1282081161553107E-2</v>
      </c>
      <c r="HE83" s="8">
        <v>-5.4567497727999292E-2</v>
      </c>
      <c r="HF83" s="8">
        <v>3.9354337118600313E-3</v>
      </c>
      <c r="HG83" s="8">
        <v>1.6697789506390517E-2</v>
      </c>
      <c r="HH83" s="8">
        <v>2.948847479081769E-2</v>
      </c>
      <c r="HI83" s="8">
        <v>1.6943281883526853E-2</v>
      </c>
      <c r="HJ83" s="8">
        <v>-2.0027972599782104E-2</v>
      </c>
      <c r="HK83" s="8">
        <v>-3.477162642747611E-3</v>
      </c>
      <c r="HL83" s="8">
        <v>7.5126274851307837E-2</v>
      </c>
      <c r="HM83" s="8">
        <v>2.2693965081649892E-3</v>
      </c>
      <c r="HN83" s="8">
        <v>6.5145418045942649E-2</v>
      </c>
      <c r="HO83" s="8">
        <v>5.5989915231331483E-2</v>
      </c>
      <c r="HP83" s="8">
        <v>4.1616070387372472E-3</v>
      </c>
      <c r="HQ83" s="8">
        <v>-3.1537082865498806E-2</v>
      </c>
      <c r="HR83" s="8">
        <v>3.5544854009253279E-2</v>
      </c>
      <c r="HS83" s="8">
        <v>-9.4244855786538434E-3</v>
      </c>
      <c r="HT83" s="8">
        <v>8.7606415251249001E-2</v>
      </c>
      <c r="HU83" s="8">
        <v>3.9817444291900872E-2</v>
      </c>
      <c r="HV83" s="8">
        <v>-6.9146090577945241E-2</v>
      </c>
      <c r="HW83" s="8">
        <v>1.571647205526927E-2</v>
      </c>
      <c r="HX83" s="8">
        <v>3.416854635118674E-2</v>
      </c>
      <c r="HY83" s="8">
        <v>2.979510941737798E-2</v>
      </c>
      <c r="HZ83" s="8">
        <v>-2.6550627777021996E-2</v>
      </c>
      <c r="IA83" s="8">
        <v>4.8493030369330559E-2</v>
      </c>
      <c r="IB83" s="8">
        <v>7.6244717913054316E-4</v>
      </c>
      <c r="IC83" s="8">
        <v>-6.2675660234295091E-2</v>
      </c>
      <c r="ID83" s="8">
        <v>-1.924592379790821E-2</v>
      </c>
      <c r="IE83" s="8">
        <v>4.9058215453212969E-2</v>
      </c>
      <c r="IF83" s="8">
        <v>4.4765601637161478E-2</v>
      </c>
      <c r="IG83" s="8">
        <v>9.2820068776809789E-3</v>
      </c>
      <c r="IH83" s="8">
        <v>-3.3490170291252605E-2</v>
      </c>
      <c r="II83" s="8">
        <v>1.4727046140099037E-2</v>
      </c>
      <c r="IJ83" s="8">
        <v>2.0939900674483813E-2</v>
      </c>
      <c r="IK83" s="8">
        <v>3.3417221820568166E-2</v>
      </c>
      <c r="IL83" s="8">
        <v>-1.4453342581944834E-2</v>
      </c>
      <c r="IM83" s="8">
        <v>-7.8539700686739766E-2</v>
      </c>
      <c r="IN83" s="8">
        <v>8.3584852900778217E-3</v>
      </c>
      <c r="IO83" s="8">
        <v>-0.10468540105492352</v>
      </c>
      <c r="IP83" s="8">
        <v>2.4873436564587389E-2</v>
      </c>
      <c r="IQ83" s="8">
        <v>-1.8516023998790793E-2</v>
      </c>
      <c r="IR83" s="8">
        <v>-3.599194933135838E-2</v>
      </c>
      <c r="IS83" s="8">
        <v>-8.1059597657296006E-3</v>
      </c>
      <c r="IT83" s="8">
        <v>2.1740944293286574E-2</v>
      </c>
    </row>
    <row r="84" spans="1:254" s="11" customFormat="1" x14ac:dyDescent="0.2">
      <c r="A84" s="10"/>
      <c r="B84" s="12">
        <v>7.75</v>
      </c>
      <c r="C84" s="2">
        <f t="shared" si="43"/>
        <v>1.4538732311314593E-2</v>
      </c>
      <c r="D84" s="3">
        <f t="shared" si="44"/>
        <v>4.5835958027788615E-2</v>
      </c>
      <c r="E84" s="8">
        <v>-3.3204446863250581E-3</v>
      </c>
      <c r="F84" s="8">
        <v>4.0786344258901694E-2</v>
      </c>
      <c r="G84" s="8">
        <v>3.4918659002954974E-2</v>
      </c>
      <c r="H84" s="8">
        <v>-6.8238467871113151E-3</v>
      </c>
      <c r="I84" s="8">
        <v>1.3120890891953119E-2</v>
      </c>
      <c r="J84" s="8">
        <v>6.6822902779821641E-2</v>
      </c>
      <c r="K84" s="8">
        <v>4.5835958027788615E-2</v>
      </c>
      <c r="L84" s="8">
        <v>6.9092232446460219E-2</v>
      </c>
      <c r="M84" s="8">
        <v>1.4406530671955547E-2</v>
      </c>
      <c r="N84" s="8">
        <v>1.5676818474264664E-2</v>
      </c>
      <c r="O84" s="8">
        <v>-2.7944756612112792E-2</v>
      </c>
      <c r="P84" s="8">
        <v>-4.1945482195092684E-2</v>
      </c>
      <c r="Q84" s="8">
        <v>-1.7426161507669458E-2</v>
      </c>
      <c r="R84" s="8">
        <v>1.4052384931132922E-2</v>
      </c>
      <c r="S84" s="8">
        <v>2.2041462394531364E-2</v>
      </c>
      <c r="T84" s="8">
        <v>2.4256329737467275E-2</v>
      </c>
      <c r="U84" s="8">
        <v>2.0865801722679822E-2</v>
      </c>
      <c r="V84" s="8">
        <v>-3.0158609867370068E-4</v>
      </c>
      <c r="W84" s="8">
        <v>2.1021170272595591E-2</v>
      </c>
      <c r="X84" s="8">
        <v>-3.0454642893267908E-2</v>
      </c>
      <c r="Y84" s="8">
        <v>-5.2188175126103228E-2</v>
      </c>
      <c r="Z84" s="8">
        <v>-2.3747660003781382E-2</v>
      </c>
      <c r="AA84" s="8">
        <v>-0.10559235093456437</v>
      </c>
      <c r="AB84" s="8">
        <v>2.8538497188576872E-2</v>
      </c>
      <c r="AC84" s="8">
        <v>1.2134116318412436E-2</v>
      </c>
      <c r="AD84" s="8">
        <v>-1.443027358560528E-2</v>
      </c>
      <c r="AE84" s="8">
        <v>1.797376677213014E-2</v>
      </c>
      <c r="AF84" s="8">
        <v>-6.5355096196464568E-2</v>
      </c>
      <c r="AG84" s="8">
        <v>-4.794899904957739E-3</v>
      </c>
      <c r="AH84" s="8">
        <v>1.2429777803267816E-3</v>
      </c>
      <c r="AI84" s="8">
        <v>6.2575578660782061E-3</v>
      </c>
      <c r="AJ84" s="8">
        <v>2.5793822223658516E-2</v>
      </c>
      <c r="AK84" s="8">
        <v>-6.6462311911500427E-3</v>
      </c>
      <c r="AL84" s="8">
        <v>-2.4005866277284071E-3</v>
      </c>
      <c r="AM84" s="8">
        <v>3.235791322624515E-2</v>
      </c>
      <c r="AN84" s="8">
        <v>-2.5126754665783152E-2</v>
      </c>
      <c r="AO84" s="8">
        <v>-9.5718164858770161E-3</v>
      </c>
      <c r="AP84" s="8">
        <v>3.979841975838308E-2</v>
      </c>
      <c r="AQ84" s="8">
        <v>-8.6035117133599182E-2</v>
      </c>
      <c r="AR84" s="8">
        <v>4.0371779230757729E-2</v>
      </c>
      <c r="AS84" s="8">
        <v>-4.2547871003968063E-2</v>
      </c>
      <c r="AT84" s="8">
        <v>6.4028019548448278E-4</v>
      </c>
      <c r="AU84" s="8">
        <v>-2.8493838462004262E-2</v>
      </c>
      <c r="AV84" s="8">
        <v>4.994331809001272E-2</v>
      </c>
      <c r="AW84" s="8">
        <v>1.4916373154787776E-2</v>
      </c>
      <c r="AX84" s="8">
        <v>-7.0504052613406115E-3</v>
      </c>
      <c r="AY84" s="8">
        <v>3.7775386590087168E-2</v>
      </c>
      <c r="AZ84" s="8">
        <v>-6.7994220342810857E-2</v>
      </c>
      <c r="BA84" s="8">
        <v>-4.0667230192175371E-2</v>
      </c>
      <c r="BB84" s="8">
        <v>-3.2993532310765308E-2</v>
      </c>
      <c r="BC84" s="8">
        <v>-3.1700765809850123E-2</v>
      </c>
      <c r="BD84" s="8">
        <v>-1.9401839608581162E-2</v>
      </c>
      <c r="BE84" s="8">
        <v>2.4415911818301522E-2</v>
      </c>
      <c r="BF84" s="8">
        <v>1.0998453320540932E-2</v>
      </c>
      <c r="BG84" s="8">
        <v>-2.0762799145697952E-3</v>
      </c>
      <c r="BH84" s="8">
        <v>-8.1401527353369973E-2</v>
      </c>
      <c r="BI84" s="8">
        <v>4.2315456296871459E-2</v>
      </c>
      <c r="BJ84" s="8">
        <v>1.767553908885576E-2</v>
      </c>
      <c r="BK84" s="8">
        <v>4.6242685937865916E-2</v>
      </c>
      <c r="BL84" s="8">
        <v>8.5237302428757114E-2</v>
      </c>
      <c r="BM84" s="8">
        <v>2.7914833031597169E-2</v>
      </c>
      <c r="BN84" s="8">
        <v>-1.1962938742678994E-2</v>
      </c>
      <c r="BO84" s="8">
        <v>-3.4060500278427788E-2</v>
      </c>
      <c r="BP84" s="8">
        <v>-3.8244914764423377E-2</v>
      </c>
      <c r="BQ84" s="8">
        <v>8.3168525515201333E-2</v>
      </c>
      <c r="BR84" s="8">
        <v>-1.8968156582477094E-2</v>
      </c>
      <c r="BS84" s="8">
        <v>3.0754619310127407E-2</v>
      </c>
      <c r="BT84" s="8">
        <v>-2.5301256379150164E-2</v>
      </c>
      <c r="BU84" s="8">
        <v>6.0090604179238047E-2</v>
      </c>
      <c r="BV84" s="8">
        <v>-3.4171677890505014E-2</v>
      </c>
      <c r="BW84" s="8">
        <v>4.6637447137462082E-2</v>
      </c>
      <c r="BX84" s="8">
        <v>-4.6120404359848113E-2</v>
      </c>
      <c r="BY84" s="8">
        <v>2.3494289033589508E-2</v>
      </c>
      <c r="BZ84" s="8">
        <v>-3.3384949824639742E-2</v>
      </c>
      <c r="CA84" s="8">
        <v>-9.412799382640287E-2</v>
      </c>
      <c r="CB84" s="8">
        <v>-6.3456393565217706E-3</v>
      </c>
      <c r="CC84" s="8">
        <v>2.4867106094944025E-2</v>
      </c>
      <c r="CD84" s="8">
        <v>1.708245438994456E-2</v>
      </c>
      <c r="CE84" s="8">
        <v>3.2116859219478072E-2</v>
      </c>
      <c r="CF84" s="8">
        <v>-1.140872114816531E-2</v>
      </c>
      <c r="CG84" s="8">
        <v>3.0583752828760191E-2</v>
      </c>
      <c r="CH84" s="8">
        <v>1.2415194681212244E-2</v>
      </c>
      <c r="CI84" s="8">
        <v>-3.4050644381331541E-2</v>
      </c>
      <c r="CJ84" s="8">
        <v>1.4835157678513233E-2</v>
      </c>
      <c r="CK84" s="8">
        <v>-1.7311891256878292E-3</v>
      </c>
      <c r="CL84" s="8">
        <v>-4.1862395727852414E-2</v>
      </c>
      <c r="CM84" s="8">
        <v>1.6330603380461245E-2</v>
      </c>
      <c r="CN84" s="8">
        <v>8.0324042760101383E-3</v>
      </c>
      <c r="CO84" s="8">
        <v>4.4616872121533702E-3</v>
      </c>
      <c r="CP84" s="8">
        <v>1.0017298898366098E-2</v>
      </c>
      <c r="CQ84" s="8">
        <v>0.10051057225712637</v>
      </c>
      <c r="CR84" s="8">
        <v>-1.2177232564367729E-2</v>
      </c>
      <c r="CS84" s="8">
        <v>-7.337779532113492E-2</v>
      </c>
      <c r="CT84" s="8">
        <v>-1.2154137861467282E-2</v>
      </c>
      <c r="CU84" s="8">
        <v>4.7319123892144418E-2</v>
      </c>
      <c r="CV84" s="8">
        <v>-2.3164990506376479E-2</v>
      </c>
      <c r="CW84" s="8">
        <v>-4.6138350009595444E-2</v>
      </c>
      <c r="CX84" s="8">
        <v>-1.7279870903705238E-2</v>
      </c>
      <c r="CY84" s="8">
        <v>5.3303597068486044E-2</v>
      </c>
      <c r="CZ84" s="8">
        <v>5.956105225328244E-2</v>
      </c>
      <c r="DA84" s="8">
        <v>1.223695626179562E-2</v>
      </c>
      <c r="DB84" s="8">
        <v>-3.8518453536485212E-2</v>
      </c>
      <c r="DC84" s="8">
        <v>5.4694685614926908E-4</v>
      </c>
      <c r="DD84" s="8">
        <v>-1.5725037598614822E-2</v>
      </c>
      <c r="DE84" s="8">
        <v>-6.2945015541668509E-2</v>
      </c>
      <c r="DF84" s="8">
        <v>5.5674817542816113E-2</v>
      </c>
      <c r="DG84" s="8">
        <v>-0.10708060209151225</v>
      </c>
      <c r="DH84" s="8">
        <v>-5.3584578325608978E-2</v>
      </c>
      <c r="DI84" s="8">
        <v>-1.475946096092115E-2</v>
      </c>
      <c r="DJ84" s="8">
        <v>-1.9683068706263795E-3</v>
      </c>
      <c r="DK84" s="8">
        <v>1.2429580986564465E-2</v>
      </c>
      <c r="DL84" s="8">
        <v>1.4913550495448138E-2</v>
      </c>
      <c r="DM84" s="8">
        <v>-2.1218205758195774E-2</v>
      </c>
      <c r="DN84" s="8">
        <v>2.4652168325627777E-2</v>
      </c>
      <c r="DO84" s="8">
        <v>-8.3134071670105267E-2</v>
      </c>
      <c r="DP84" s="8">
        <v>2.4715662202873648E-2</v>
      </c>
      <c r="DQ84" s="8">
        <v>1.839903926713847E-2</v>
      </c>
      <c r="DR84" s="8">
        <v>-7.4192007500832324E-3</v>
      </c>
      <c r="DS84" s="8">
        <v>2.543418674034377E-2</v>
      </c>
      <c r="DT84" s="8">
        <v>3.7037132265895695E-2</v>
      </c>
      <c r="DU84" s="8">
        <v>-1.9227188056868127E-2</v>
      </c>
      <c r="DV84" s="8">
        <v>2.5415891992209616E-2</v>
      </c>
      <c r="DW84" s="8">
        <v>1.8404137075188565E-2</v>
      </c>
      <c r="DX84" s="8">
        <v>5.1046932444361856E-2</v>
      </c>
      <c r="DY84" s="8">
        <v>-2.4676933491467573E-2</v>
      </c>
      <c r="DZ84" s="8">
        <v>-5.3946195304684197E-2</v>
      </c>
      <c r="EA84" s="8">
        <v>1.3417725732716004E-2</v>
      </c>
      <c r="EB84" s="8">
        <v>-1.2320484352745395E-2</v>
      </c>
      <c r="EC84" s="8">
        <v>2.2371376318293293E-2</v>
      </c>
      <c r="ED84" s="8">
        <v>2.5199633768251128E-2</v>
      </c>
      <c r="EE84" s="8">
        <v>-2.1344537528753579E-2</v>
      </c>
      <c r="EF84" s="8">
        <v>-2.4618513995620595E-2</v>
      </c>
      <c r="EG84" s="8">
        <v>2.6023979924321025E-2</v>
      </c>
      <c r="EH84" s="8">
        <v>-3.1982165224240841E-2</v>
      </c>
      <c r="EI84" s="8">
        <v>-6.3397920582809297E-2</v>
      </c>
      <c r="EJ84" s="8">
        <v>2.0138631052690786E-2</v>
      </c>
      <c r="EK84" s="8">
        <v>-3.1872105586481292E-2</v>
      </c>
      <c r="EL84" s="8">
        <v>-4.2695247213031529E-4</v>
      </c>
      <c r="EM84" s="8">
        <v>8.075629687792768E-3</v>
      </c>
      <c r="EN84" s="8">
        <v>-1.5709106560756983E-2</v>
      </c>
      <c r="EO84" s="8">
        <v>-3.0714565057506249E-2</v>
      </c>
      <c r="EP84" s="8">
        <v>1.4044582869342723E-2</v>
      </c>
      <c r="EQ84" s="8">
        <v>2.7799763622008672E-2</v>
      </c>
      <c r="ER84" s="8">
        <v>-6.9553207628526015E-3</v>
      </c>
      <c r="ES84" s="8">
        <v>8.1355716107488998E-2</v>
      </c>
      <c r="ET84" s="8">
        <v>6.2045737573955678E-3</v>
      </c>
      <c r="EU84" s="8">
        <v>2.6777843724525296E-3</v>
      </c>
      <c r="EV84" s="8">
        <v>-2.5673994724184496E-2</v>
      </c>
      <c r="EW84" s="8">
        <v>2.0556334183499003E-2</v>
      </c>
      <c r="EX84" s="8">
        <v>-1.998930338965671E-3</v>
      </c>
      <c r="EY84" s="8">
        <v>2.338663903039169E-2</v>
      </c>
      <c r="EZ84" s="8">
        <v>-5.3190494659706433E-4</v>
      </c>
      <c r="FA84" s="8">
        <v>-2.668142794891748E-3</v>
      </c>
      <c r="FB84" s="8">
        <v>2.2645158351126543E-3</v>
      </c>
      <c r="FC84" s="8">
        <v>-7.4191587234249651E-2</v>
      </c>
      <c r="FD84" s="8">
        <v>3.9092790556417151E-2</v>
      </c>
      <c r="FE84" s="8">
        <v>3.9913837323440254E-2</v>
      </c>
      <c r="FF84" s="8">
        <v>3.956249837559489E-3</v>
      </c>
      <c r="FG84" s="8">
        <v>8.466771514324456E-3</v>
      </c>
      <c r="FH84" s="8">
        <v>1.0108961779586159E-2</v>
      </c>
      <c r="FI84" s="8">
        <v>5.9431015482220295E-3</v>
      </c>
      <c r="FJ84" s="8">
        <v>3.1788629926606804E-3</v>
      </c>
      <c r="FK84" s="8">
        <v>-2.2659614447161885E-2</v>
      </c>
      <c r="FL84" s="8">
        <v>1.9098016320192354E-2</v>
      </c>
      <c r="FM84" s="8">
        <v>1.9995996253183435E-2</v>
      </c>
      <c r="FN84" s="8">
        <v>-4.640140914671266E-2</v>
      </c>
      <c r="FO84" s="8">
        <v>-8.3793681088308869E-3</v>
      </c>
      <c r="FP84" s="8">
        <v>-3.5939627193393164E-4</v>
      </c>
      <c r="FQ84" s="8">
        <v>-6.3599260574985481E-2</v>
      </c>
      <c r="FR84" s="8">
        <v>2.42823144737635E-2</v>
      </c>
      <c r="FS84" s="8">
        <v>-2.5296980353308879E-3</v>
      </c>
      <c r="FT84" s="8">
        <v>-5.5036099334650451E-2</v>
      </c>
      <c r="FU84" s="8">
        <v>2.5734064638244375E-2</v>
      </c>
      <c r="FV84" s="8">
        <v>1.3956941557158375E-2</v>
      </c>
      <c r="FW84" s="8">
        <v>2.5930985556940678E-2</v>
      </c>
      <c r="FX84" s="8">
        <v>-2.1636900275179727E-2</v>
      </c>
      <c r="FY84" s="8">
        <v>-1.7146452645618801E-2</v>
      </c>
      <c r="FZ84" s="8">
        <v>-5.0875587975090009E-2</v>
      </c>
      <c r="GA84" s="8">
        <v>1.2396107363660466E-2</v>
      </c>
      <c r="GB84" s="8">
        <v>4.0327869951798268E-2</v>
      </c>
      <c r="GC84" s="8">
        <v>7.7386693378527216E-3</v>
      </c>
      <c r="GD84" s="8">
        <v>-1.2786076711013505E-2</v>
      </c>
      <c r="GE84" s="8">
        <v>2.6762853541831888E-2</v>
      </c>
      <c r="GF84" s="8">
        <v>4.9336419732914208E-2</v>
      </c>
      <c r="GG84" s="8">
        <v>-7.9723651800549022E-2</v>
      </c>
      <c r="GH84" s="8">
        <v>-1.0733058507771398E-3</v>
      </c>
      <c r="GI84" s="8">
        <v>-2.3132217748024667E-2</v>
      </c>
      <c r="GJ84" s="8">
        <v>-4.322676590665217E-2</v>
      </c>
      <c r="GK84" s="8">
        <v>5.5151282142695185E-2</v>
      </c>
      <c r="GL84" s="8">
        <v>-4.6781096803752364E-2</v>
      </c>
      <c r="GM84" s="8">
        <v>1.3407437810364534E-2</v>
      </c>
      <c r="GN84" s="8">
        <v>3.5314661949022996E-3</v>
      </c>
      <c r="GO84" s="8">
        <v>-6.7132423385434375E-3</v>
      </c>
      <c r="GP84" s="8">
        <v>5.5745356482084951E-2</v>
      </c>
      <c r="GQ84" s="8">
        <v>1.8918864916231806E-2</v>
      </c>
      <c r="GR84" s="8">
        <v>5.8937999829513588E-2</v>
      </c>
      <c r="GS84" s="8">
        <v>1.5032596385947769E-2</v>
      </c>
      <c r="GT84" s="8">
        <v>-8.3728207244883668E-2</v>
      </c>
      <c r="GU84" s="8">
        <v>7.7491108103465156E-3</v>
      </c>
      <c r="GV84" s="8">
        <v>-3.9704802098761205E-2</v>
      </c>
      <c r="GW84" s="8">
        <v>-1.7526807292644719E-2</v>
      </c>
      <c r="GX84" s="8">
        <v>2.910243350655331E-2</v>
      </c>
      <c r="GY84" s="8">
        <v>-4.2776002635879079E-2</v>
      </c>
      <c r="GZ84" s="8">
        <v>-2.5607975887025694E-2</v>
      </c>
      <c r="HA84" s="8">
        <v>-1.5274464209885735E-2</v>
      </c>
      <c r="HB84" s="8">
        <v>3.4191488231880562E-2</v>
      </c>
      <c r="HC84" s="8">
        <v>-8.3205532224776141E-3</v>
      </c>
      <c r="HD84" s="8">
        <v>-2.3301727393909316E-2</v>
      </c>
      <c r="HE84" s="8">
        <v>-4.4246667807263954E-2</v>
      </c>
      <c r="HF84" s="8">
        <v>5.6544662084891395E-3</v>
      </c>
      <c r="HG84" s="8">
        <v>3.7487579319857578E-3</v>
      </c>
      <c r="HH84" s="8">
        <v>1.4384991147538551E-2</v>
      </c>
      <c r="HI84" s="8">
        <v>1.0921967163656884E-2</v>
      </c>
      <c r="HJ84" s="8">
        <v>-3.2725344413730761E-2</v>
      </c>
      <c r="HK84" s="8">
        <v>-2.4748937646206365E-3</v>
      </c>
      <c r="HL84" s="8">
        <v>5.1529446600600423E-2</v>
      </c>
      <c r="HM84" s="8">
        <v>-5.5155487057735597E-4</v>
      </c>
      <c r="HN84" s="8">
        <v>7.4994562844603513E-2</v>
      </c>
      <c r="HO84" s="8">
        <v>6.265793726113103E-2</v>
      </c>
      <c r="HP84" s="8">
        <v>1.6190886543284072E-2</v>
      </c>
      <c r="HQ84" s="8">
        <v>-1.7671991993718508E-2</v>
      </c>
      <c r="HR84" s="8">
        <v>3.0322717137928029E-2</v>
      </c>
      <c r="HS84" s="8">
        <v>-2.170679580766148E-2</v>
      </c>
      <c r="HT84" s="8">
        <v>6.5249693469994902E-2</v>
      </c>
      <c r="HU84" s="8">
        <v>2.5936257981673413E-2</v>
      </c>
      <c r="HV84" s="8">
        <v>-4.5670724222851025E-2</v>
      </c>
      <c r="HW84" s="8">
        <v>2.4323691546274187E-2</v>
      </c>
      <c r="HX84" s="8">
        <v>3.717154782288945E-2</v>
      </c>
      <c r="HY84" s="8">
        <v>1.6109639802217121E-2</v>
      </c>
      <c r="HZ84" s="8">
        <v>-2.5389846657212445E-2</v>
      </c>
      <c r="IA84" s="8">
        <v>3.3420917607760475E-2</v>
      </c>
      <c r="IB84" s="8">
        <v>2.1116387190929509E-4</v>
      </c>
      <c r="IC84" s="8">
        <v>-6.6401634945169152E-2</v>
      </c>
      <c r="ID84" s="8">
        <v>-1.460021187256888E-2</v>
      </c>
      <c r="IE84" s="8">
        <v>5.1932046698805537E-2</v>
      </c>
      <c r="IF84" s="8">
        <v>3.1735245610416629E-2</v>
      </c>
      <c r="IG84" s="8">
        <v>-1.1573900487534233E-2</v>
      </c>
      <c r="IH84" s="8">
        <v>-3.6430659508209159E-2</v>
      </c>
      <c r="II84" s="8">
        <v>1.570322682555314E-2</v>
      </c>
      <c r="IJ84" s="8">
        <v>2.6517291969205103E-2</v>
      </c>
      <c r="IK84" s="8">
        <v>3.098905895632896E-2</v>
      </c>
      <c r="IL84" s="8">
        <v>-1.4577306345515947E-2</v>
      </c>
      <c r="IM84" s="8">
        <v>-6.7740765219411983E-2</v>
      </c>
      <c r="IN84" s="8">
        <v>-2.6578840482042149E-2</v>
      </c>
      <c r="IO84" s="8">
        <v>-0.10285976552228482</v>
      </c>
      <c r="IP84" s="8">
        <v>4.7009800715340944E-2</v>
      </c>
      <c r="IQ84" s="8">
        <v>-2.3507593210826891E-2</v>
      </c>
      <c r="IR84" s="8">
        <v>-3.8726507897317478E-2</v>
      </c>
      <c r="IS84" s="8">
        <v>-7.6995063144776887E-3</v>
      </c>
      <c r="IT84" s="8">
        <v>3.4530797565881247E-2</v>
      </c>
    </row>
    <row r="85" spans="1:254" s="11" customFormat="1" x14ac:dyDescent="0.2">
      <c r="A85" s="10"/>
      <c r="B85" s="12">
        <v>8</v>
      </c>
      <c r="C85" s="2">
        <f t="shared" si="43"/>
        <v>1.3458414649363287E-2</v>
      </c>
      <c r="D85" s="3">
        <f t="shared" si="44"/>
        <v>4.0646755162667345E-2</v>
      </c>
      <c r="E85" s="8">
        <v>-9.7968935453872918E-3</v>
      </c>
      <c r="F85" s="8">
        <v>4.9407473214723885E-2</v>
      </c>
      <c r="G85" s="8">
        <v>1.5612105964832881E-2</v>
      </c>
      <c r="H85" s="8">
        <v>-1.5806030773299229E-2</v>
      </c>
      <c r="I85" s="8">
        <v>1.0154639261104798E-2</v>
      </c>
      <c r="J85" s="8">
        <v>8.5866236471013241E-2</v>
      </c>
      <c r="K85" s="8">
        <v>5.2882449137959059E-2</v>
      </c>
      <c r="L85" s="8">
        <v>6.5226955934951134E-2</v>
      </c>
      <c r="M85" s="8">
        <v>6.4030852887549811E-3</v>
      </c>
      <c r="N85" s="8">
        <v>2.3430437404468707E-2</v>
      </c>
      <c r="O85" s="8">
        <v>-1.9780001101578237E-2</v>
      </c>
      <c r="P85" s="8">
        <v>-4.626840127472881E-2</v>
      </c>
      <c r="Q85" s="8">
        <v>-1.6666195537221651E-2</v>
      </c>
      <c r="R85" s="8">
        <v>1.8322868267459658E-3</v>
      </c>
      <c r="S85" s="8">
        <v>2.6284776661398154E-2</v>
      </c>
      <c r="T85" s="8">
        <v>1.7744714640122353E-2</v>
      </c>
      <c r="U85" s="8">
        <v>3.1249219715423146E-2</v>
      </c>
      <c r="V85" s="8">
        <v>4.246684686774721E-3</v>
      </c>
      <c r="W85" s="8">
        <v>1.8596021131391305E-2</v>
      </c>
      <c r="X85" s="8">
        <v>-2.703867591193175E-2</v>
      </c>
      <c r="Y85" s="8">
        <v>-4.213437368512514E-2</v>
      </c>
      <c r="Z85" s="8">
        <v>-3.0721397285025306E-2</v>
      </c>
      <c r="AA85" s="8">
        <v>-9.1987689718527207E-2</v>
      </c>
      <c r="AB85" s="8">
        <v>3.2287868062025146E-2</v>
      </c>
      <c r="AC85" s="8">
        <v>2.3273544917600975E-2</v>
      </c>
      <c r="AD85" s="8">
        <v>-1.1149427574296378E-2</v>
      </c>
      <c r="AE85" s="8">
        <v>1.8847670600564082E-2</v>
      </c>
      <c r="AF85" s="8">
        <v>-6.8430070009023958E-2</v>
      </c>
      <c r="AG85" s="8">
        <v>-1.5174725396503011E-2</v>
      </c>
      <c r="AH85" s="8">
        <v>3.2595499787967108E-3</v>
      </c>
      <c r="AI85" s="8">
        <v>-3.7362036755709815E-3</v>
      </c>
      <c r="AJ85" s="8">
        <v>3.6328988013217434E-2</v>
      </c>
      <c r="AK85" s="8">
        <v>-9.4137820592249816E-3</v>
      </c>
      <c r="AL85" s="8">
        <v>7.2901358012286976E-3</v>
      </c>
      <c r="AM85" s="8">
        <v>3.154976309544881E-2</v>
      </c>
      <c r="AN85" s="8">
        <v>-1.4380061468387328E-2</v>
      </c>
      <c r="AO85" s="8">
        <v>-1.8786371490033094E-2</v>
      </c>
      <c r="AP85" s="8">
        <v>4.4679008053854455E-2</v>
      </c>
      <c r="AQ85" s="8">
        <v>-7.576626485426538E-2</v>
      </c>
      <c r="AR85" s="8">
        <v>3.7010788531459296E-2</v>
      </c>
      <c r="AS85" s="8">
        <v>-3.226218084180231E-2</v>
      </c>
      <c r="AT85" s="8">
        <v>3.7288419054393174E-4</v>
      </c>
      <c r="AU85" s="8">
        <v>-2.6410611947594656E-2</v>
      </c>
      <c r="AV85" s="8">
        <v>4.9449682006728321E-2</v>
      </c>
      <c r="AW85" s="8">
        <v>1.7213650200694583E-2</v>
      </c>
      <c r="AX85" s="8">
        <v>-1.1372775632770712E-2</v>
      </c>
      <c r="AY85" s="8">
        <v>3.7119253047753709E-2</v>
      </c>
      <c r="AZ85" s="8">
        <v>-5.7248711822492346E-2</v>
      </c>
      <c r="BA85" s="8">
        <v>-2.6964415494108329E-2</v>
      </c>
      <c r="BB85" s="8">
        <v>-2.5569031205778206E-2</v>
      </c>
      <c r="BC85" s="8">
        <v>-3.3580473992887147E-2</v>
      </c>
      <c r="BD85" s="8">
        <v>-2.116912131768979E-2</v>
      </c>
      <c r="BE85" s="8">
        <v>3.6229555186563525E-2</v>
      </c>
      <c r="BF85" s="8">
        <v>1.7192734247307953E-2</v>
      </c>
      <c r="BG85" s="8">
        <v>-7.2104230016599852E-3</v>
      </c>
      <c r="BH85" s="8">
        <v>-7.4189566357692555E-2</v>
      </c>
      <c r="BI85" s="8">
        <v>2.534469003688955E-2</v>
      </c>
      <c r="BJ85" s="8">
        <v>3.2937729580507322E-2</v>
      </c>
      <c r="BK85" s="8">
        <v>4.6218392681426745E-2</v>
      </c>
      <c r="BL85" s="8">
        <v>7.8268694092262101E-2</v>
      </c>
      <c r="BM85" s="8">
        <v>1.5531897095422478E-2</v>
      </c>
      <c r="BN85" s="8">
        <v>-9.9530914701028567E-3</v>
      </c>
      <c r="BO85" s="8">
        <v>-2.1124324123114213E-2</v>
      </c>
      <c r="BP85" s="8">
        <v>-4.212479922442558E-2</v>
      </c>
      <c r="BQ85" s="8">
        <v>6.6486082863555229E-2</v>
      </c>
      <c r="BR85" s="8">
        <v>-1.5002137800803797E-2</v>
      </c>
      <c r="BS85" s="8">
        <v>3.2423996898638854E-2</v>
      </c>
      <c r="BT85" s="8">
        <v>-2.819026036353485E-2</v>
      </c>
      <c r="BU85" s="8">
        <v>5.519500867954491E-2</v>
      </c>
      <c r="BV85" s="8">
        <v>-3.7416646935834838E-2</v>
      </c>
      <c r="BW85" s="8">
        <v>4.1980445225763621E-2</v>
      </c>
      <c r="BX85" s="8">
        <v>-3.2576871383354203E-2</v>
      </c>
      <c r="BY85" s="8">
        <v>2.8283500513764159E-2</v>
      </c>
      <c r="BZ85" s="8">
        <v>-3.6246603505327005E-2</v>
      </c>
      <c r="CA85" s="8">
        <v>-8.0301198042161764E-2</v>
      </c>
      <c r="CB85" s="8">
        <v>-5.1951597151111556E-3</v>
      </c>
      <c r="CC85" s="8">
        <v>3.3099026799421366E-2</v>
      </c>
      <c r="CD85" s="8">
        <v>1.8116554489631495E-2</v>
      </c>
      <c r="CE85" s="8">
        <v>3.5478789213637507E-2</v>
      </c>
      <c r="CF85" s="8">
        <v>-1.532347378486118E-2</v>
      </c>
      <c r="CG85" s="8">
        <v>2.2202450561104092E-2</v>
      </c>
      <c r="CH85" s="8">
        <v>3.4189226987285659E-3</v>
      </c>
      <c r="CI85" s="8">
        <v>-2.3342463707258287E-2</v>
      </c>
      <c r="CJ85" s="8">
        <v>6.5369584836147132E-3</v>
      </c>
      <c r="CK85" s="8">
        <v>-1.6977638315689964E-2</v>
      </c>
      <c r="CL85" s="8">
        <v>-2.4915038535858108E-2</v>
      </c>
      <c r="CM85" s="8">
        <v>1.1287771271386707E-2</v>
      </c>
      <c r="CN85" s="8">
        <v>-3.1170094238255619E-3</v>
      </c>
      <c r="CO85" s="8">
        <v>6.8441212055079803E-3</v>
      </c>
      <c r="CP85" s="8">
        <v>1.3699314185615763E-2</v>
      </c>
      <c r="CQ85" s="8">
        <v>0.10158609686584903</v>
      </c>
      <c r="CR85" s="8">
        <v>-7.5622613381525899E-3</v>
      </c>
      <c r="CS85" s="8">
        <v>-4.6493160503376471E-2</v>
      </c>
      <c r="CT85" s="8">
        <v>-1.9312512689818803E-2</v>
      </c>
      <c r="CU85" s="8">
        <v>4.8149557508025159E-2</v>
      </c>
      <c r="CV85" s="8">
        <v>-7.244801952465324E-3</v>
      </c>
      <c r="CW85" s="8">
        <v>-3.9504611133025586E-2</v>
      </c>
      <c r="CX85" s="8">
        <v>-5.0238416484993526E-3</v>
      </c>
      <c r="CY85" s="8">
        <v>4.0820297831092714E-2</v>
      </c>
      <c r="CZ85" s="8">
        <v>5.0235381438773083E-2</v>
      </c>
      <c r="DA85" s="8">
        <v>4.5617746600810222E-3</v>
      </c>
      <c r="DB85" s="8">
        <v>-4.0218660331542866E-2</v>
      </c>
      <c r="DC85" s="8">
        <v>2.2047105641690712E-3</v>
      </c>
      <c r="DD85" s="8">
        <v>-6.7361333006182855E-3</v>
      </c>
      <c r="DE85" s="8">
        <v>-5.1040583337582227E-2</v>
      </c>
      <c r="DF85" s="8">
        <v>4.7826106692260673E-2</v>
      </c>
      <c r="DG85" s="8">
        <v>-9.9025432694798188E-2</v>
      </c>
      <c r="DH85" s="8">
        <v>-2.8209361253901777E-2</v>
      </c>
      <c r="DI85" s="8">
        <v>-1.3982791162574268E-2</v>
      </c>
      <c r="DJ85" s="8">
        <v>2.5575085885818638E-3</v>
      </c>
      <c r="DK85" s="8">
        <v>1.0125090040586066E-2</v>
      </c>
      <c r="DL85" s="8">
        <v>1.2289982182547454E-2</v>
      </c>
      <c r="DM85" s="8">
        <v>3.284038402204148E-3</v>
      </c>
      <c r="DN85" s="8">
        <v>3.5748527309189426E-2</v>
      </c>
      <c r="DO85" s="8">
        <v>-6.9911485177661159E-2</v>
      </c>
      <c r="DP85" s="8">
        <v>3.5508312728907532E-2</v>
      </c>
      <c r="DQ85" s="8">
        <v>2.158729388503329E-2</v>
      </c>
      <c r="DR85" s="8">
        <v>-2.2874811839286371E-2</v>
      </c>
      <c r="DS85" s="8">
        <v>5.3164290506945294E-3</v>
      </c>
      <c r="DT85" s="8">
        <v>3.5362090666536589E-2</v>
      </c>
      <c r="DU85" s="8">
        <v>-1.2911068615272095E-2</v>
      </c>
      <c r="DV85" s="8">
        <v>3.8326524517948407E-2</v>
      </c>
      <c r="DW85" s="8">
        <v>6.5220010527509836E-3</v>
      </c>
      <c r="DX85" s="8">
        <v>6.6307473582296494E-2</v>
      </c>
      <c r="DY85" s="8">
        <v>-2.2936547687672365E-2</v>
      </c>
      <c r="DZ85" s="8">
        <v>-3.9912648227315606E-2</v>
      </c>
      <c r="EA85" s="8">
        <v>3.4001810156199783E-2</v>
      </c>
      <c r="EB85" s="8">
        <v>-1.2272168334984415E-2</v>
      </c>
      <c r="EC85" s="8">
        <v>2.5222034347254729E-2</v>
      </c>
      <c r="ED85" s="8">
        <v>2.109903025329303E-2</v>
      </c>
      <c r="EE85" s="8">
        <v>-2.6603614826034308E-2</v>
      </c>
      <c r="EF85" s="8">
        <v>-2.3680187016687559E-2</v>
      </c>
      <c r="EG85" s="8">
        <v>3.9439752993950999E-2</v>
      </c>
      <c r="EH85" s="8">
        <v>-3.2471752227600653E-2</v>
      </c>
      <c r="EI85" s="8">
        <v>-7.1362041444811036E-2</v>
      </c>
      <c r="EJ85" s="8">
        <v>1.2671912651646938E-2</v>
      </c>
      <c r="EK85" s="8">
        <v>-2.0499046199804347E-2</v>
      </c>
      <c r="EL85" s="8">
        <v>3.0659241650826535E-3</v>
      </c>
      <c r="EM85" s="8">
        <v>8.7899568982396648E-3</v>
      </c>
      <c r="EN85" s="8">
        <v>-7.3693777454229004E-3</v>
      </c>
      <c r="EO85" s="8">
        <v>-3.103817182206392E-2</v>
      </c>
      <c r="EP85" s="8">
        <v>1.2382449956468825E-2</v>
      </c>
      <c r="EQ85" s="8">
        <v>3.2735903597235369E-2</v>
      </c>
      <c r="ER85" s="8">
        <v>2.5085873382310608E-4</v>
      </c>
      <c r="ES85" s="8">
        <v>6.1778427626010463E-2</v>
      </c>
      <c r="ET85" s="8">
        <v>-1.0916320298003518E-2</v>
      </c>
      <c r="EU85" s="8">
        <v>-3.1828256728068521E-3</v>
      </c>
      <c r="EV85" s="8">
        <v>-1.9881718049283945E-2</v>
      </c>
      <c r="EW85" s="8">
        <v>1.1681836714899266E-2</v>
      </c>
      <c r="EX85" s="8">
        <v>-1.3805704102182598E-3</v>
      </c>
      <c r="EY85" s="8">
        <v>8.4733886239649614E-3</v>
      </c>
      <c r="EZ85" s="8">
        <v>-5.5281093717316071E-3</v>
      </c>
      <c r="FA85" s="8">
        <v>1.0228184498228404E-2</v>
      </c>
      <c r="FB85" s="8">
        <v>3.9043669056398472E-3</v>
      </c>
      <c r="FC85" s="8">
        <v>-8.2438488353584971E-2</v>
      </c>
      <c r="FD85" s="8">
        <v>3.2565025899207567E-2</v>
      </c>
      <c r="FE85" s="8">
        <v>2.2503743156591149E-2</v>
      </c>
      <c r="FF85" s="8">
        <v>-1.4255080020928845E-2</v>
      </c>
      <c r="FG85" s="8">
        <v>1.694703314838597E-2</v>
      </c>
      <c r="FH85" s="8">
        <v>-8.3219717383792302E-4</v>
      </c>
      <c r="FI85" s="8">
        <v>2.2342797388932023E-2</v>
      </c>
      <c r="FJ85" s="8">
        <v>-1.0454583485438596E-2</v>
      </c>
      <c r="FK85" s="8">
        <v>-2.948131039524271E-2</v>
      </c>
      <c r="FL85" s="8">
        <v>2.4128749201345473E-2</v>
      </c>
      <c r="FM85" s="8">
        <v>2.387436745563315E-2</v>
      </c>
      <c r="FN85" s="8">
        <v>-3.7166835696169243E-2</v>
      </c>
      <c r="FO85" s="8">
        <v>-7.4242992498999016E-4</v>
      </c>
      <c r="FP85" s="8">
        <v>-9.5747761775041851E-4</v>
      </c>
      <c r="FQ85" s="8">
        <v>-4.9713933139967331E-2</v>
      </c>
      <c r="FR85" s="8">
        <v>3.6032044940775276E-2</v>
      </c>
      <c r="FS85" s="8">
        <v>-9.9777861120284306E-4</v>
      </c>
      <c r="FT85" s="8">
        <v>-5.087420022981233E-2</v>
      </c>
      <c r="FU85" s="8">
        <v>2.5368665427763989E-2</v>
      </c>
      <c r="FV85" s="8">
        <v>1.7814829844007035E-2</v>
      </c>
      <c r="FW85" s="8">
        <v>2.6529330482717717E-2</v>
      </c>
      <c r="FX85" s="8">
        <v>-1.1658850307467647E-2</v>
      </c>
      <c r="FY85" s="8">
        <v>-2.422541250019089E-2</v>
      </c>
      <c r="FZ85" s="8">
        <v>-3.8094171602797239E-2</v>
      </c>
      <c r="GA85" s="8">
        <v>1.6730933796452879E-2</v>
      </c>
      <c r="GB85" s="8">
        <v>2.1887564612103214E-2</v>
      </c>
      <c r="GC85" s="8">
        <v>1.2065438799083658E-2</v>
      </c>
      <c r="GD85" s="8">
        <v>-1.176795524708979E-2</v>
      </c>
      <c r="GE85" s="8">
        <v>4.840552408211074E-3</v>
      </c>
      <c r="GF85" s="8">
        <v>3.4780819036995633E-2</v>
      </c>
      <c r="GG85" s="8">
        <v>-7.5747074001494955E-2</v>
      </c>
      <c r="GH85" s="8">
        <v>-1.2507350289356498E-2</v>
      </c>
      <c r="GI85" s="8">
        <v>-2.2168620538296879E-2</v>
      </c>
      <c r="GJ85" s="8">
        <v>-4.5377818393747993E-2</v>
      </c>
      <c r="GK85" s="8">
        <v>3.4650557344048497E-2</v>
      </c>
      <c r="GL85" s="8">
        <v>-3.2312852161963737E-2</v>
      </c>
      <c r="GM85" s="8">
        <v>-9.4575444779874951E-4</v>
      </c>
      <c r="GN85" s="8">
        <v>-3.9654343790480884E-3</v>
      </c>
      <c r="GO85" s="8">
        <v>-1.0741116368383985E-2</v>
      </c>
      <c r="GP85" s="8">
        <v>5.4271196165039226E-2</v>
      </c>
      <c r="GQ85" s="8">
        <v>-1.4077837877141119E-4</v>
      </c>
      <c r="GR85" s="8">
        <v>4.825230467200467E-2</v>
      </c>
      <c r="GS85" s="8">
        <v>2.5172208318461786E-2</v>
      </c>
      <c r="GT85" s="8">
        <v>-7.9066331203946252E-2</v>
      </c>
      <c r="GU85" s="8">
        <v>1.4919004831876109E-2</v>
      </c>
      <c r="GV85" s="8">
        <v>-4.5040848085190016E-2</v>
      </c>
      <c r="GW85" s="8">
        <v>-2.0715845773661937E-2</v>
      </c>
      <c r="GX85" s="8">
        <v>2.6814842515290149E-2</v>
      </c>
      <c r="GY85" s="8">
        <v>-3.8324916961744726E-2</v>
      </c>
      <c r="GZ85" s="8">
        <v>-1.6917884842740497E-2</v>
      </c>
      <c r="HA85" s="8">
        <v>-5.7982113509163213E-3</v>
      </c>
      <c r="HB85" s="8">
        <v>3.3806746105324928E-2</v>
      </c>
      <c r="HC85" s="8">
        <v>-8.7743860999521112E-3</v>
      </c>
      <c r="HD85" s="8">
        <v>-1.2596567098300315E-2</v>
      </c>
      <c r="HE85" s="8">
        <v>-4.5695304932176939E-2</v>
      </c>
      <c r="HF85" s="8">
        <v>-3.4567136137203802E-3</v>
      </c>
      <c r="HG85" s="8">
        <v>7.2999185543887041E-3</v>
      </c>
      <c r="HH85" s="8">
        <v>-5.6615740982238622E-3</v>
      </c>
      <c r="HI85" s="8">
        <v>4.9927176832483683E-3</v>
      </c>
      <c r="HJ85" s="8">
        <v>-3.7128623954316237E-2</v>
      </c>
      <c r="HK85" s="8">
        <v>-4.5083369460166972E-3</v>
      </c>
      <c r="HL85" s="8">
        <v>4.4832671860969217E-2</v>
      </c>
      <c r="HM85" s="8">
        <v>-8.5731369201407226E-3</v>
      </c>
      <c r="HN85" s="8">
        <v>7.5341188306650375E-2</v>
      </c>
      <c r="HO85" s="8">
        <v>5.0530495330391945E-2</v>
      </c>
      <c r="HP85" s="8">
        <v>1.5876335863883553E-2</v>
      </c>
      <c r="HQ85" s="8">
        <v>-2.0694895887613168E-2</v>
      </c>
      <c r="HR85" s="8">
        <v>1.6606789671706923E-2</v>
      </c>
      <c r="HS85" s="8">
        <v>-6.6112983105709316E-3</v>
      </c>
      <c r="HT85" s="8">
        <v>6.6915812122143314E-2</v>
      </c>
      <c r="HU85" s="8">
        <v>3.1559086729465308E-3</v>
      </c>
      <c r="HV85" s="8">
        <v>-4.0874893035613008E-2</v>
      </c>
      <c r="HW85" s="8">
        <v>3.8872549812514201E-3</v>
      </c>
      <c r="HX85" s="8">
        <v>2.960240889986164E-2</v>
      </c>
      <c r="HY85" s="8">
        <v>-3.3125528881784577E-3</v>
      </c>
      <c r="HZ85" s="8">
        <v>-1.7279486697277621E-2</v>
      </c>
      <c r="IA85" s="8">
        <v>3.4397705597080608E-2</v>
      </c>
      <c r="IB85" s="8">
        <v>-7.9154948309428375E-3</v>
      </c>
      <c r="IC85" s="8">
        <v>-6.2837490440154589E-2</v>
      </c>
      <c r="ID85" s="8">
        <v>-9.1579839752641279E-3</v>
      </c>
      <c r="IE85" s="8">
        <v>4.0646755162667345E-2</v>
      </c>
      <c r="IF85" s="8">
        <v>2.7700689002427975E-2</v>
      </c>
      <c r="IG85" s="8">
        <v>-4.7821641358551381E-3</v>
      </c>
      <c r="IH85" s="8">
        <v>-3.5460406638019026E-2</v>
      </c>
      <c r="II85" s="8">
        <v>8.8103922274707092E-3</v>
      </c>
      <c r="IJ85" s="8">
        <v>1.5747299119011349E-2</v>
      </c>
      <c r="IK85" s="8">
        <v>1.5917649652892094E-2</v>
      </c>
      <c r="IL85" s="8">
        <v>-2.2545179942886115E-2</v>
      </c>
      <c r="IM85" s="8">
        <v>-6.4009734589247969E-2</v>
      </c>
      <c r="IN85" s="8">
        <v>-1.2665313487202998E-2</v>
      </c>
      <c r="IO85" s="8">
        <v>-0.10249956843575951</v>
      </c>
      <c r="IP85" s="8">
        <v>5.8374705887638073E-2</v>
      </c>
      <c r="IQ85" s="8">
        <v>-1.5686052762634156E-2</v>
      </c>
      <c r="IR85" s="8">
        <v>-2.0188386911893591E-2</v>
      </c>
      <c r="IS85" s="8">
        <v>-9.9693133029831738E-3</v>
      </c>
      <c r="IT85" s="8">
        <v>3.9226663654600147E-2</v>
      </c>
    </row>
    <row r="86" spans="1:254" s="11" customFormat="1" x14ac:dyDescent="0.2">
      <c r="A86" s="10"/>
      <c r="B86" s="12">
        <v>8.25</v>
      </c>
      <c r="C86" s="2">
        <f t="shared" si="43"/>
        <v>1.206411511437327E-2</v>
      </c>
      <c r="D86" s="3">
        <f t="shared" si="44"/>
        <v>3.960429325882231E-2</v>
      </c>
      <c r="E86" s="8">
        <v>-7.7724632540708272E-3</v>
      </c>
      <c r="F86" s="8">
        <v>4.9499249449650229E-2</v>
      </c>
      <c r="G86" s="8">
        <v>7.5894760116404503E-4</v>
      </c>
      <c r="H86" s="8">
        <v>-5.0210309680686627E-3</v>
      </c>
      <c r="I86" s="8">
        <v>1.1838768467855948E-2</v>
      </c>
      <c r="J86" s="8">
        <v>7.687863199232986E-2</v>
      </c>
      <c r="K86" s="8">
        <v>4.5903816870927816E-2</v>
      </c>
      <c r="L86" s="8">
        <v>6.126292465786716E-2</v>
      </c>
      <c r="M86" s="8">
        <v>-7.0994621498611243E-3</v>
      </c>
      <c r="N86" s="8">
        <v>1.8867840890282997E-2</v>
      </c>
      <c r="O86" s="8">
        <v>-1.566639743456319E-2</v>
      </c>
      <c r="P86" s="8">
        <v>-5.1675523371546184E-2</v>
      </c>
      <c r="Q86" s="8">
        <v>-3.252697926052539E-3</v>
      </c>
      <c r="R86" s="8">
        <v>-2.2439426436659804E-3</v>
      </c>
      <c r="S86" s="8">
        <v>2.8523408316956086E-2</v>
      </c>
      <c r="T86" s="8">
        <v>1.3415409089336361E-2</v>
      </c>
      <c r="U86" s="8">
        <v>1.8324358488893022E-2</v>
      </c>
      <c r="V86" s="8">
        <v>1.0810395312325194E-2</v>
      </c>
      <c r="W86" s="8">
        <v>1.0909060682922772E-2</v>
      </c>
      <c r="X86" s="8">
        <v>-2.5739398544822059E-2</v>
      </c>
      <c r="Y86" s="8">
        <v>-2.919848059792958E-2</v>
      </c>
      <c r="Z86" s="8">
        <v>-2.5677984775021784E-2</v>
      </c>
      <c r="AA86" s="8">
        <v>-7.5831835936780875E-2</v>
      </c>
      <c r="AB86" s="8">
        <v>3.1729492565841108E-2</v>
      </c>
      <c r="AC86" s="8">
        <v>1.0871165548371461E-2</v>
      </c>
      <c r="AD86" s="8">
        <v>-9.1040536053714899E-3</v>
      </c>
      <c r="AE86" s="8">
        <v>2.5897457757816822E-2</v>
      </c>
      <c r="AF86" s="8">
        <v>-5.8260862866131302E-2</v>
      </c>
      <c r="AG86" s="8">
        <v>-5.4941785969690043E-3</v>
      </c>
      <c r="AH86" s="8">
        <v>6.1992911413173979E-3</v>
      </c>
      <c r="AI86" s="8">
        <v>2.3146609688358688E-3</v>
      </c>
      <c r="AJ86" s="8">
        <v>3.4647000909160161E-2</v>
      </c>
      <c r="AK86" s="8">
        <v>-5.682604098616803E-3</v>
      </c>
      <c r="AL86" s="8">
        <v>1.6304218422404052E-2</v>
      </c>
      <c r="AM86" s="8">
        <v>3.312219676437822E-2</v>
      </c>
      <c r="AN86" s="8">
        <v>7.5779184906193814E-3</v>
      </c>
      <c r="AO86" s="8">
        <v>-1.7310335123615059E-2</v>
      </c>
      <c r="AP86" s="8">
        <v>4.1574340017690406E-2</v>
      </c>
      <c r="AQ86" s="8">
        <v>-6.0650271718262677E-2</v>
      </c>
      <c r="AR86" s="8">
        <v>4.4122421851520099E-2</v>
      </c>
      <c r="AS86" s="8">
        <v>-1.376780143383001E-2</v>
      </c>
      <c r="AT86" s="8">
        <v>-3.3527404266119332E-3</v>
      </c>
      <c r="AU86" s="8">
        <v>-3.6782606389824904E-2</v>
      </c>
      <c r="AV86" s="8">
        <v>3.4927963439073895E-2</v>
      </c>
      <c r="AW86" s="8">
        <v>8.7304520283852383E-3</v>
      </c>
      <c r="AX86" s="8">
        <v>-2.5225358233229578E-3</v>
      </c>
      <c r="AY86" s="8">
        <v>2.0206195429819038E-2</v>
      </c>
      <c r="AZ86" s="8">
        <v>-6.1177511954574229E-2</v>
      </c>
      <c r="BA86" s="8">
        <v>-2.3108951022079105E-2</v>
      </c>
      <c r="BB86" s="8">
        <v>-2.5021252570703839E-2</v>
      </c>
      <c r="BC86" s="8">
        <v>-4.209856010599472E-2</v>
      </c>
      <c r="BD86" s="8">
        <v>-1.6212060245367282E-2</v>
      </c>
      <c r="BE86" s="8">
        <v>3.4599858642393955E-2</v>
      </c>
      <c r="BF86" s="8">
        <v>5.0637734716964533E-3</v>
      </c>
      <c r="BG86" s="8">
        <v>4.9260250858240706E-3</v>
      </c>
      <c r="BH86" s="8">
        <v>-6.6477419060871679E-2</v>
      </c>
      <c r="BI86" s="8">
        <v>1.4551072215596345E-2</v>
      </c>
      <c r="BJ86" s="8">
        <v>2.3815777380570557E-2</v>
      </c>
      <c r="BK86" s="8">
        <v>3.5675919263573164E-2</v>
      </c>
      <c r="BL86" s="8">
        <v>7.0160624639546532E-2</v>
      </c>
      <c r="BM86" s="8">
        <v>1.6806818971757245E-2</v>
      </c>
      <c r="BN86" s="8">
        <v>8.6366355595274419E-3</v>
      </c>
      <c r="BO86" s="8">
        <v>-3.1284985176937327E-2</v>
      </c>
      <c r="BP86" s="8">
        <v>-4.8390238396992358E-2</v>
      </c>
      <c r="BQ86" s="8">
        <v>6.5276045909425914E-2</v>
      </c>
      <c r="BR86" s="8">
        <v>-2.4606992284162799E-2</v>
      </c>
      <c r="BS86" s="8">
        <v>3.2866136462704906E-2</v>
      </c>
      <c r="BT86" s="8">
        <v>-2.1250619580837474E-2</v>
      </c>
      <c r="BU86" s="8">
        <v>4.0217233776628739E-2</v>
      </c>
      <c r="BV86" s="8">
        <v>-4.8223777025148948E-2</v>
      </c>
      <c r="BW86" s="8">
        <v>2.5274390083073958E-2</v>
      </c>
      <c r="BX86" s="8">
        <v>-2.8482475382340389E-2</v>
      </c>
      <c r="BY86" s="8">
        <v>2.7406483672810233E-2</v>
      </c>
      <c r="BZ86" s="8">
        <v>-3.098121912187482E-2</v>
      </c>
      <c r="CA86" s="8">
        <v>-6.7048414797600125E-2</v>
      </c>
      <c r="CB86" s="8">
        <v>-7.4754235336048219E-3</v>
      </c>
      <c r="CC86" s="8">
        <v>3.562428692337484E-2</v>
      </c>
      <c r="CD86" s="8">
        <v>7.9623571783614122E-3</v>
      </c>
      <c r="CE86" s="8">
        <v>2.2355602367269717E-2</v>
      </c>
      <c r="CF86" s="8">
        <v>-8.0957547314814693E-3</v>
      </c>
      <c r="CG86" s="8">
        <v>1.4059298883898175E-2</v>
      </c>
      <c r="CH86" s="8">
        <v>1.1150889616943799E-2</v>
      </c>
      <c r="CI86" s="8">
        <v>-1.6316179120705071E-2</v>
      </c>
      <c r="CJ86" s="8">
        <v>2.2499068032295899E-3</v>
      </c>
      <c r="CK86" s="8">
        <v>-1.7876141706756013E-2</v>
      </c>
      <c r="CL86" s="8">
        <v>-3.3632124922854875E-2</v>
      </c>
      <c r="CM86" s="8">
        <v>1.2091690329245675E-2</v>
      </c>
      <c r="CN86" s="8">
        <v>9.9287744961429336E-5</v>
      </c>
      <c r="CO86" s="8">
        <v>-7.263025712465343E-3</v>
      </c>
      <c r="CP86" s="8">
        <v>1.2468794468272065E-2</v>
      </c>
      <c r="CQ86" s="8">
        <v>9.3392476197346058E-2</v>
      </c>
      <c r="CR86" s="8">
        <v>-2.2140298397641603E-2</v>
      </c>
      <c r="CS86" s="8">
        <v>-3.7456972517223033E-2</v>
      </c>
      <c r="CT86" s="8">
        <v>-5.8728233692812021E-3</v>
      </c>
      <c r="CU86" s="8">
        <v>4.5426106395392657E-2</v>
      </c>
      <c r="CV86" s="8">
        <v>-1.1025133709188992E-2</v>
      </c>
      <c r="CW86" s="8">
        <v>-3.3726988675303549E-2</v>
      </c>
      <c r="CX86" s="8">
        <v>1.0780050529271973E-3</v>
      </c>
      <c r="CY86" s="8">
        <v>2.8030414630406064E-2</v>
      </c>
      <c r="CZ86" s="8">
        <v>4.0237247374102308E-2</v>
      </c>
      <c r="DA86" s="8">
        <v>1.1403576485408684E-2</v>
      </c>
      <c r="DB86" s="8">
        <v>-2.6844071131517655E-2</v>
      </c>
      <c r="DC86" s="8">
        <v>2.0739988452462832E-3</v>
      </c>
      <c r="DD86" s="8">
        <v>-2.6887743258696278E-3</v>
      </c>
      <c r="DE86" s="8">
        <v>-4.8323451694690933E-2</v>
      </c>
      <c r="DF86" s="8">
        <v>4.044577052224356E-2</v>
      </c>
      <c r="DG86" s="8">
        <v>-7.854932527568001E-2</v>
      </c>
      <c r="DH86" s="8">
        <v>-2.1675607524478724E-2</v>
      </c>
      <c r="DI86" s="8">
        <v>-2.1404604107566588E-2</v>
      </c>
      <c r="DJ86" s="8">
        <v>1.6318793385055874E-3</v>
      </c>
      <c r="DK86" s="8">
        <v>2.1369072278149437E-2</v>
      </c>
      <c r="DL86" s="8">
        <v>7.3882319812815789E-3</v>
      </c>
      <c r="DM86" s="8">
        <v>7.3561735676939688E-3</v>
      </c>
      <c r="DN86" s="8">
        <v>3.4473176610887488E-2</v>
      </c>
      <c r="DO86" s="8">
        <v>-5.9007944036527482E-2</v>
      </c>
      <c r="DP86" s="8">
        <v>2.5797633290097322E-2</v>
      </c>
      <c r="DQ86" s="8">
        <v>9.1612240746827278E-3</v>
      </c>
      <c r="DR86" s="8">
        <v>-2.326066931386396E-2</v>
      </c>
      <c r="DS86" s="8">
        <v>1.3612421943369979E-2</v>
      </c>
      <c r="DT86" s="8">
        <v>2.8613010139608444E-2</v>
      </c>
      <c r="DU86" s="8">
        <v>-1.7784252042599896E-2</v>
      </c>
      <c r="DV86" s="8">
        <v>3.7837676626888597E-2</v>
      </c>
      <c r="DW86" s="8">
        <v>6.5436150129241366E-3</v>
      </c>
      <c r="DX86" s="8">
        <v>4.6846480448115818E-2</v>
      </c>
      <c r="DY86" s="8">
        <v>-1.2055035329712985E-2</v>
      </c>
      <c r="DZ86" s="8">
        <v>-3.3119380417749977E-2</v>
      </c>
      <c r="EA86" s="8">
        <v>4.265292618760938E-2</v>
      </c>
      <c r="EB86" s="8">
        <v>-6.7048699917690441E-3</v>
      </c>
      <c r="EC86" s="8">
        <v>2.0381197115533767E-2</v>
      </c>
      <c r="ED86" s="8">
        <v>1.551789331248514E-2</v>
      </c>
      <c r="EE86" s="8">
        <v>-6.8304008028513413E-3</v>
      </c>
      <c r="EF86" s="8">
        <v>-3.7650929002108355E-2</v>
      </c>
      <c r="EG86" s="8">
        <v>2.8433662411434607E-2</v>
      </c>
      <c r="EH86" s="8">
        <v>-2.9566387612024209E-2</v>
      </c>
      <c r="EI86" s="8">
        <v>-6.216825183465291E-2</v>
      </c>
      <c r="EJ86" s="8">
        <v>2.5407600423762208E-2</v>
      </c>
      <c r="EK86" s="8">
        <v>-2.8867352645724195E-2</v>
      </c>
      <c r="EL86" s="8">
        <v>2.7858845124285603E-3</v>
      </c>
      <c r="EM86" s="8">
        <v>5.4919844359720693E-3</v>
      </c>
      <c r="EN86" s="8">
        <v>-8.8066543835761402E-3</v>
      </c>
      <c r="EO86" s="8">
        <v>-1.2962577949061749E-2</v>
      </c>
      <c r="EP86" s="8">
        <v>1.8003426679407061E-2</v>
      </c>
      <c r="EQ86" s="8">
        <v>1.9401660706823295E-2</v>
      </c>
      <c r="ER86" s="8">
        <v>-1.7229784434228623E-2</v>
      </c>
      <c r="ES86" s="8">
        <v>5.280690628930787E-2</v>
      </c>
      <c r="ET86" s="8">
        <v>-2.0230367479810843E-2</v>
      </c>
      <c r="EU86" s="8">
        <v>-2.8437706228238019E-3</v>
      </c>
      <c r="EV86" s="8">
        <v>-1.7745595885430135E-2</v>
      </c>
      <c r="EW86" s="8">
        <v>-7.0908212332454479E-4</v>
      </c>
      <c r="EX86" s="8">
        <v>4.48650357769112E-3</v>
      </c>
      <c r="EY86" s="8">
        <v>1.3500940890837088E-2</v>
      </c>
      <c r="EZ86" s="8">
        <v>-3.5122243333292058E-3</v>
      </c>
      <c r="FA86" s="8">
        <v>7.0755418596160358E-3</v>
      </c>
      <c r="FB86" s="8">
        <v>-5.7067501012842831E-3</v>
      </c>
      <c r="FC86" s="8">
        <v>-6.5996881019841441E-2</v>
      </c>
      <c r="FD86" s="8">
        <v>2.0592114734649641E-2</v>
      </c>
      <c r="FE86" s="8">
        <v>2.1831417616690996E-2</v>
      </c>
      <c r="FF86" s="8">
        <v>-1.7271188803593823E-2</v>
      </c>
      <c r="FG86" s="8">
        <v>4.6023585654447335E-3</v>
      </c>
      <c r="FH86" s="8">
        <v>2.4584329483788026E-3</v>
      </c>
      <c r="FI86" s="8">
        <v>1.5171095948991908E-2</v>
      </c>
      <c r="FJ86" s="8">
        <v>-1.4273542540855499E-2</v>
      </c>
      <c r="FK86" s="8">
        <v>-2.9673102730184461E-2</v>
      </c>
      <c r="FL86" s="8">
        <v>1.9461265235335826E-2</v>
      </c>
      <c r="FM86" s="8">
        <v>2.5050987560448254E-2</v>
      </c>
      <c r="FN86" s="8">
        <v>-3.1852954341972731E-2</v>
      </c>
      <c r="FO86" s="8">
        <v>-1.9226246158835086E-3</v>
      </c>
      <c r="FP86" s="8">
        <v>-6.0818318490017675E-3</v>
      </c>
      <c r="FQ86" s="8">
        <v>-4.5700848381634906E-2</v>
      </c>
      <c r="FR86" s="8">
        <v>2.9840493454365402E-2</v>
      </c>
      <c r="FS86" s="8">
        <v>1.1868259890768784E-3</v>
      </c>
      <c r="FT86" s="8">
        <v>-5.088284625238898E-2</v>
      </c>
      <c r="FU86" s="8">
        <v>1.9547948743000421E-2</v>
      </c>
      <c r="FV86" s="8">
        <v>1.9993931299129589E-2</v>
      </c>
      <c r="FW86" s="8">
        <v>2.4333929514271158E-2</v>
      </c>
      <c r="FX86" s="8">
        <v>-1.0806401597347068E-2</v>
      </c>
      <c r="FY86" s="8">
        <v>-1.9493778058556871E-2</v>
      </c>
      <c r="FZ86" s="8">
        <v>-4.3304760434987738E-2</v>
      </c>
      <c r="GA86" s="8">
        <v>2.4750787760993542E-2</v>
      </c>
      <c r="GB86" s="8">
        <v>2.0494826408140626E-2</v>
      </c>
      <c r="GC86" s="8">
        <v>4.4130664138389702E-3</v>
      </c>
      <c r="GD86" s="8">
        <v>-1.9195328161026495E-2</v>
      </c>
      <c r="GE86" s="8">
        <v>3.7620430340851857E-3</v>
      </c>
      <c r="GF86" s="8">
        <v>3.4879107832855125E-2</v>
      </c>
      <c r="GG86" s="8">
        <v>-5.454165288675665E-2</v>
      </c>
      <c r="GH86" s="8">
        <v>-2.1889043656134005E-2</v>
      </c>
      <c r="GI86" s="8">
        <v>-4.0224256936527147E-3</v>
      </c>
      <c r="GJ86" s="8">
        <v>-4.3969153565209584E-2</v>
      </c>
      <c r="GK86" s="8">
        <v>4.5296391339290143E-2</v>
      </c>
      <c r="GL86" s="8">
        <v>-1.9102154246851244E-2</v>
      </c>
      <c r="GM86" s="8">
        <v>-5.0598177290501478E-3</v>
      </c>
      <c r="GN86" s="8">
        <v>-5.1620222574058905E-3</v>
      </c>
      <c r="GO86" s="8">
        <v>-1.3480147994538019E-2</v>
      </c>
      <c r="GP86" s="8">
        <v>3.662780146237074E-2</v>
      </c>
      <c r="GQ86" s="8">
        <v>-1.8964675914915866E-2</v>
      </c>
      <c r="GR86" s="8">
        <v>4.493797623501479E-2</v>
      </c>
      <c r="GS86" s="8">
        <v>2.494576204122137E-2</v>
      </c>
      <c r="GT86" s="8">
        <v>-5.8804207218142612E-2</v>
      </c>
      <c r="GU86" s="8">
        <v>2.703785148256943E-2</v>
      </c>
      <c r="GV86" s="8">
        <v>-5.1175172774973562E-2</v>
      </c>
      <c r="GW86" s="8">
        <v>-1.8607371404833262E-2</v>
      </c>
      <c r="GX86" s="8">
        <v>1.2882987636455137E-2</v>
      </c>
      <c r="GY86" s="8">
        <v>-2.8149964416540954E-2</v>
      </c>
      <c r="GZ86" s="8">
        <v>-1.1975112599649188E-2</v>
      </c>
      <c r="HA86" s="8">
        <v>-1.0475853147388747E-2</v>
      </c>
      <c r="HB86" s="8">
        <v>4.0753548072841594E-2</v>
      </c>
      <c r="HC86" s="8">
        <v>-8.7910821439372427E-3</v>
      </c>
      <c r="HD86" s="8">
        <v>-1.1605766135166229E-2</v>
      </c>
      <c r="HE86" s="8">
        <v>-3.3027777926102009E-2</v>
      </c>
      <c r="HF86" s="8">
        <v>1.7768260778288358E-3</v>
      </c>
      <c r="HG86" s="8">
        <v>7.1083128408337415E-3</v>
      </c>
      <c r="HH86" s="8">
        <v>-9.5576676566776764E-3</v>
      </c>
      <c r="HI86" s="8">
        <v>1.3463132846882386E-2</v>
      </c>
      <c r="HJ86" s="8">
        <v>-2.6713882185455187E-2</v>
      </c>
      <c r="HK86" s="8">
        <v>3.3436139013519051E-3</v>
      </c>
      <c r="HL86" s="8">
        <v>4.4667505992571299E-2</v>
      </c>
      <c r="HM86" s="8">
        <v>-4.2286464632076831E-3</v>
      </c>
      <c r="HN86" s="8">
        <v>6.2420300138570528E-2</v>
      </c>
      <c r="HO86" s="8">
        <v>2.9041306448661749E-2</v>
      </c>
      <c r="HP86" s="8">
        <v>1.7994977498407672E-2</v>
      </c>
      <c r="HQ86" s="8">
        <v>-2.7580729479934493E-2</v>
      </c>
      <c r="HR86" s="8">
        <v>4.2356707895222917E-3</v>
      </c>
      <c r="HS86" s="8">
        <v>-8.0325060895864997E-3</v>
      </c>
      <c r="HT86" s="8">
        <v>5.3899363395970679E-2</v>
      </c>
      <c r="HU86" s="8">
        <v>1.3216101924380608E-2</v>
      </c>
      <c r="HV86" s="8">
        <v>-2.5064201685978088E-2</v>
      </c>
      <c r="HW86" s="8">
        <v>7.6272779763853077E-3</v>
      </c>
      <c r="HX86" s="8">
        <v>3.960429325882231E-2</v>
      </c>
      <c r="HY86" s="8">
        <v>-5.6363003708599924E-3</v>
      </c>
      <c r="HZ86" s="8">
        <v>-8.3609155160921378E-3</v>
      </c>
      <c r="IA86" s="8">
        <v>4.4688708356075621E-2</v>
      </c>
      <c r="IB86" s="8">
        <v>-1.8892869516752203E-2</v>
      </c>
      <c r="IC86" s="8">
        <v>-5.8689104213920304E-2</v>
      </c>
      <c r="ID86" s="8">
        <v>-8.6383344728174216E-3</v>
      </c>
      <c r="IE86" s="8">
        <v>4.0233771278089248E-2</v>
      </c>
      <c r="IF86" s="8">
        <v>1.6788224938377616E-2</v>
      </c>
      <c r="IG86" s="8">
        <v>-5.2273568733402498E-3</v>
      </c>
      <c r="IH86" s="8">
        <v>-3.0874158013555239E-2</v>
      </c>
      <c r="II86" s="8">
        <v>2.4188003386431789E-2</v>
      </c>
      <c r="IJ86" s="8">
        <v>2.28175939161568E-2</v>
      </c>
      <c r="IK86" s="8">
        <v>1.4741437496765958E-2</v>
      </c>
      <c r="IL86" s="8">
        <v>-1.7074176995629131E-2</v>
      </c>
      <c r="IM86" s="8">
        <v>-6.0994622638007534E-2</v>
      </c>
      <c r="IN86" s="8">
        <v>-1.5105002007185953E-2</v>
      </c>
      <c r="IO86" s="8">
        <v>-9.6690568265600241E-2</v>
      </c>
      <c r="IP86" s="8">
        <v>4.8920767822336481E-2</v>
      </c>
      <c r="IQ86" s="8">
        <v>-1.9765974528994701E-2</v>
      </c>
      <c r="IR86" s="8">
        <v>-7.5832373997174879E-3</v>
      </c>
      <c r="IS86" s="8">
        <v>-6.6125602575123343E-4</v>
      </c>
      <c r="IT86" s="8">
        <v>3.3177821154817114E-2</v>
      </c>
    </row>
    <row r="87" spans="1:254" s="11" customFormat="1" x14ac:dyDescent="0.2">
      <c r="A87" s="10"/>
      <c r="B87" s="12">
        <v>8.5</v>
      </c>
      <c r="C87" s="2">
        <f t="shared" si="43"/>
        <v>1.0457345424455582E-2</v>
      </c>
      <c r="D87" s="3">
        <f t="shared" si="44"/>
        <v>3.2969352481497793E-2</v>
      </c>
      <c r="E87" s="8">
        <v>-1.8852017279565453E-3</v>
      </c>
      <c r="F87" s="8">
        <v>3.9603899639389456E-2</v>
      </c>
      <c r="G87" s="8">
        <v>4.5580376055442268E-3</v>
      </c>
      <c r="H87" s="8">
        <v>-1.0613260634593613E-2</v>
      </c>
      <c r="I87" s="8">
        <v>2.6761346006511227E-3</v>
      </c>
      <c r="J87" s="8">
        <v>6.1556190434919847E-2</v>
      </c>
      <c r="K87" s="8">
        <v>3.7145373231318057E-2</v>
      </c>
      <c r="L87" s="8">
        <v>7.4318075298630215E-2</v>
      </c>
      <c r="M87" s="8">
        <v>-9.2864256745514295E-3</v>
      </c>
      <c r="N87" s="8">
        <v>5.5595871858801077E-3</v>
      </c>
      <c r="O87" s="8">
        <v>-5.9309227939758485E-3</v>
      </c>
      <c r="P87" s="8">
        <v>-5.3630288592894135E-2</v>
      </c>
      <c r="Q87" s="8">
        <v>-9.3538831549476453E-3</v>
      </c>
      <c r="R87" s="8">
        <v>-8.0250382234483414E-3</v>
      </c>
      <c r="S87" s="8">
        <v>2.5639898946124548E-2</v>
      </c>
      <c r="T87" s="8">
        <v>2.4561642138860099E-2</v>
      </c>
      <c r="U87" s="8">
        <v>1.6431900470531141E-3</v>
      </c>
      <c r="V87" s="8">
        <v>2.3886464654468711E-2</v>
      </c>
      <c r="W87" s="8">
        <v>1.737297671498661E-2</v>
      </c>
      <c r="X87" s="8">
        <v>-2.997831393471663E-2</v>
      </c>
      <c r="Y87" s="8">
        <v>-2.8930395887046295E-2</v>
      </c>
      <c r="Z87" s="8">
        <v>-2.8057945943703769E-2</v>
      </c>
      <c r="AA87" s="8">
        <v>-7.3995595789170518E-2</v>
      </c>
      <c r="AB87" s="8">
        <v>2.6179794164234049E-2</v>
      </c>
      <c r="AC87" s="8">
        <v>-2.4094069931170636E-3</v>
      </c>
      <c r="AD87" s="8">
        <v>-9.8580508998342836E-3</v>
      </c>
      <c r="AE87" s="8">
        <v>2.6900843824518683E-2</v>
      </c>
      <c r="AF87" s="8">
        <v>-4.8236178939678465E-2</v>
      </c>
      <c r="AG87" s="8">
        <v>-2.1434020953930988E-3</v>
      </c>
      <c r="AH87" s="8">
        <v>-6.9377734372865069E-3</v>
      </c>
      <c r="AI87" s="8">
        <v>-7.8335009385514659E-3</v>
      </c>
      <c r="AJ87" s="8">
        <v>2.929937486262528E-2</v>
      </c>
      <c r="AK87" s="8">
        <v>-6.4646561668271346E-3</v>
      </c>
      <c r="AL87" s="8">
        <v>1.6065778168892347E-3</v>
      </c>
      <c r="AM87" s="8">
        <v>2.4064357941045667E-2</v>
      </c>
      <c r="AN87" s="8">
        <v>8.7662307394151123E-3</v>
      </c>
      <c r="AO87" s="8">
        <v>-1.5541882661634171E-2</v>
      </c>
      <c r="AP87" s="8">
        <v>4.4351235943218534E-2</v>
      </c>
      <c r="AQ87" s="8">
        <v>-4.9425044537684371E-2</v>
      </c>
      <c r="AR87" s="8">
        <v>5.0680434890709128E-2</v>
      </c>
      <c r="AS87" s="8">
        <v>-1.4088552413455385E-2</v>
      </c>
      <c r="AT87" s="8">
        <v>-2.5997761554887588E-3</v>
      </c>
      <c r="AU87" s="8">
        <v>-3.5693922438398987E-2</v>
      </c>
      <c r="AV87" s="8">
        <v>3.5981876918916494E-2</v>
      </c>
      <c r="AW87" s="8">
        <v>3.8378828843918661E-3</v>
      </c>
      <c r="AX87" s="8">
        <v>-5.7380910665937451E-3</v>
      </c>
      <c r="AY87" s="8">
        <v>2.6088145552568026E-2</v>
      </c>
      <c r="AZ87" s="8">
        <v>-6.3641926080426264E-2</v>
      </c>
      <c r="BA87" s="8">
        <v>-1.3718591563158022E-2</v>
      </c>
      <c r="BB87" s="8">
        <v>-1.6011870935475528E-2</v>
      </c>
      <c r="BC87" s="8">
        <v>-3.8752357999218404E-2</v>
      </c>
      <c r="BD87" s="8">
        <v>-4.2798371551416858E-4</v>
      </c>
      <c r="BE87" s="8">
        <v>3.4738201514138867E-2</v>
      </c>
      <c r="BF87" s="8">
        <v>8.1528414492502976E-3</v>
      </c>
      <c r="BG87" s="8">
        <v>5.2925938221611152E-3</v>
      </c>
      <c r="BH87" s="8">
        <v>-4.5678142092061086E-2</v>
      </c>
      <c r="BI87" s="8">
        <v>3.0496708768247546E-2</v>
      </c>
      <c r="BJ87" s="8">
        <v>1.480846787336737E-2</v>
      </c>
      <c r="BK87" s="8">
        <v>2.824955464009285E-2</v>
      </c>
      <c r="BL87" s="8">
        <v>6.4892196838453195E-2</v>
      </c>
      <c r="BM87" s="8">
        <v>1.4821532742138821E-2</v>
      </c>
      <c r="BN87" s="8">
        <v>1.6423983150674809E-2</v>
      </c>
      <c r="BO87" s="8">
        <v>-1.7641769914291755E-2</v>
      </c>
      <c r="BP87" s="8">
        <v>-5.0045522775570686E-2</v>
      </c>
      <c r="BQ87" s="8">
        <v>5.6194503102966628E-2</v>
      </c>
      <c r="BR87" s="8">
        <v>-2.9527626161313228E-2</v>
      </c>
      <c r="BS87" s="8">
        <v>1.5714989415266653E-2</v>
      </c>
      <c r="BT87" s="8">
        <v>-2.3161374089021233E-2</v>
      </c>
      <c r="BU87" s="8">
        <v>4.6121875642272908E-2</v>
      </c>
      <c r="BV87" s="8">
        <v>-4.4174579747725026E-2</v>
      </c>
      <c r="BW87" s="8">
        <v>2.6168813573610561E-2</v>
      </c>
      <c r="BX87" s="8">
        <v>-2.62363736322931E-2</v>
      </c>
      <c r="BY87" s="8">
        <v>1.988710949003232E-2</v>
      </c>
      <c r="BZ87" s="8">
        <v>-3.0848118562507867E-2</v>
      </c>
      <c r="CA87" s="8">
        <v>-4.172504895270103E-2</v>
      </c>
      <c r="CB87" s="8">
        <v>-5.4719473360082677E-3</v>
      </c>
      <c r="CC87" s="8">
        <v>2.2985427867060607E-2</v>
      </c>
      <c r="CD87" s="8">
        <v>7.9148509326805033E-3</v>
      </c>
      <c r="CE87" s="8">
        <v>9.4216075949108552E-3</v>
      </c>
      <c r="CF87" s="8">
        <v>-1.3308854350411362E-2</v>
      </c>
      <c r="CG87" s="8">
        <v>1.2846428783274966E-2</v>
      </c>
      <c r="CH87" s="8">
        <v>7.0874286777715401E-3</v>
      </c>
      <c r="CI87" s="8">
        <v>-2.2107786970057441E-2</v>
      </c>
      <c r="CJ87" s="8">
        <v>6.4742913769435528E-3</v>
      </c>
      <c r="CK87" s="8">
        <v>-2.2352000240021277E-2</v>
      </c>
      <c r="CL87" s="8">
        <v>-3.3463029630813865E-2</v>
      </c>
      <c r="CM87" s="8">
        <v>1.0620933703355748E-2</v>
      </c>
      <c r="CN87" s="8">
        <v>-7.8580833369816111E-3</v>
      </c>
      <c r="CO87" s="8">
        <v>-1.8052937476774319E-2</v>
      </c>
      <c r="CP87" s="8">
        <v>-2.7679504381363934E-3</v>
      </c>
      <c r="CQ87" s="8">
        <v>7.3060989990610267E-2</v>
      </c>
      <c r="CR87" s="8">
        <v>-2.2684942909682718E-2</v>
      </c>
      <c r="CS87" s="8">
        <v>-3.5845095881015143E-2</v>
      </c>
      <c r="CT87" s="8">
        <v>-1.0846362977612461E-3</v>
      </c>
      <c r="CU87" s="8">
        <v>4.2080138678611836E-2</v>
      </c>
      <c r="CV87" s="8">
        <v>-1.1397972147822219E-2</v>
      </c>
      <c r="CW87" s="8">
        <v>-2.9387639901247764E-2</v>
      </c>
      <c r="CX87" s="8">
        <v>3.1768016496461077E-3</v>
      </c>
      <c r="CY87" s="8">
        <v>2.3188447309774929E-2</v>
      </c>
      <c r="CZ87" s="8">
        <v>3.312913809567522E-2</v>
      </c>
      <c r="DA87" s="8">
        <v>2.0211985308897978E-2</v>
      </c>
      <c r="DB87" s="8">
        <v>-3.6326056378627902E-2</v>
      </c>
      <c r="DC87" s="8">
        <v>2.6195009873896669E-3</v>
      </c>
      <c r="DD87" s="8">
        <v>-5.706161785767272E-3</v>
      </c>
      <c r="DE87" s="8">
        <v>-3.821818941766239E-2</v>
      </c>
      <c r="DF87" s="8">
        <v>3.9956121604921541E-2</v>
      </c>
      <c r="DG87" s="8">
        <v>-5.9173811775029145E-2</v>
      </c>
      <c r="DH87" s="8">
        <v>-2.1533228957394249E-2</v>
      </c>
      <c r="DI87" s="8">
        <v>-1.50371183277513E-2</v>
      </c>
      <c r="DJ87" s="8">
        <v>-5.6023605903093854E-5</v>
      </c>
      <c r="DK87" s="8">
        <v>2.2084770669799289E-2</v>
      </c>
      <c r="DL87" s="8">
        <v>1.2058977737498977E-2</v>
      </c>
      <c r="DM87" s="8">
        <v>1.1383141001028704E-2</v>
      </c>
      <c r="DN87" s="8">
        <v>4.2487551187927547E-2</v>
      </c>
      <c r="DO87" s="8">
        <v>-4.5572839598743947E-2</v>
      </c>
      <c r="DP87" s="8">
        <v>2.5636499311728414E-2</v>
      </c>
      <c r="DQ87" s="8">
        <v>1.6254064714473909E-3</v>
      </c>
      <c r="DR87" s="8">
        <v>-2.3912234555921411E-2</v>
      </c>
      <c r="DS87" s="8">
        <v>9.5139733022180373E-3</v>
      </c>
      <c r="DT87" s="8">
        <v>1.9377764517027954E-2</v>
      </c>
      <c r="DU87" s="8">
        <v>-9.9590057664422083E-3</v>
      </c>
      <c r="DV87" s="8">
        <v>2.8017610827629186E-2</v>
      </c>
      <c r="DW87" s="8">
        <v>4.3639517238657499E-3</v>
      </c>
      <c r="DX87" s="8">
        <v>5.4761724290428679E-2</v>
      </c>
      <c r="DY87" s="8">
        <v>-1.2701327448658276E-2</v>
      </c>
      <c r="DZ87" s="8">
        <v>-3.2997157717358505E-2</v>
      </c>
      <c r="EA87" s="8">
        <v>4.3882848183903256E-2</v>
      </c>
      <c r="EB87" s="8">
        <v>3.1459254056998148E-3</v>
      </c>
      <c r="EC87" s="8">
        <v>1.4909999287439787E-2</v>
      </c>
      <c r="ED87" s="8">
        <v>1.5459022313031326E-2</v>
      </c>
      <c r="EE87" s="8">
        <v>6.228385744915188E-3</v>
      </c>
      <c r="EF87" s="8">
        <v>-3.5790239580243188E-2</v>
      </c>
      <c r="EG87" s="8">
        <v>2.5471361408953563E-2</v>
      </c>
      <c r="EH87" s="8">
        <v>-2.0872670042772393E-2</v>
      </c>
      <c r="EI87" s="8">
        <v>-4.8595898706825458E-2</v>
      </c>
      <c r="EJ87" s="8">
        <v>2.2234110169813345E-2</v>
      </c>
      <c r="EK87" s="8">
        <v>-2.2475580062585113E-2</v>
      </c>
      <c r="EL87" s="8">
        <v>-3.4551751185553925E-3</v>
      </c>
      <c r="EM87" s="8">
        <v>5.736200380288034E-3</v>
      </c>
      <c r="EN87" s="8">
        <v>-3.4306008970227536E-3</v>
      </c>
      <c r="EO87" s="8">
        <v>-9.0701232432809503E-3</v>
      </c>
      <c r="EP87" s="8">
        <v>1.3746048271704878E-2</v>
      </c>
      <c r="EQ87" s="8">
        <v>3.2418790283135629E-2</v>
      </c>
      <c r="ER87" s="8">
        <v>-1.5373444693632943E-2</v>
      </c>
      <c r="ES87" s="8">
        <v>3.7480542386850807E-2</v>
      </c>
      <c r="ET87" s="8">
        <v>-2.5470840715026144E-2</v>
      </c>
      <c r="EU87" s="8">
        <v>6.1394803649027635E-3</v>
      </c>
      <c r="EV87" s="8">
        <v>-2.7716412036678365E-2</v>
      </c>
      <c r="EW87" s="8">
        <v>8.8178918094644482E-3</v>
      </c>
      <c r="EX87" s="8">
        <v>1.1452948563885443E-2</v>
      </c>
      <c r="EY87" s="8">
        <v>1.1377354138375151E-2</v>
      </c>
      <c r="EZ87" s="8">
        <v>-1.2972686307438197E-2</v>
      </c>
      <c r="FA87" s="8">
        <v>2.9333651011818479E-3</v>
      </c>
      <c r="FB87" s="8">
        <v>-3.3082869679695592E-3</v>
      </c>
      <c r="FC87" s="8">
        <v>-6.093396983784663E-2</v>
      </c>
      <c r="FD87" s="8">
        <v>1.8521559895699702E-2</v>
      </c>
      <c r="FE87" s="8">
        <v>1.9559782196772443E-2</v>
      </c>
      <c r="FF87" s="8">
        <v>-1.5536712437362279E-2</v>
      </c>
      <c r="FG87" s="8">
        <v>4.3310906325049608E-3</v>
      </c>
      <c r="FH87" s="8">
        <v>1.2997387748354239E-2</v>
      </c>
      <c r="FI87" s="8">
        <v>1.4818816365767581E-2</v>
      </c>
      <c r="FJ87" s="8">
        <v>-2.620283856400607E-2</v>
      </c>
      <c r="FK87" s="8">
        <v>-3.2087987694413636E-2</v>
      </c>
      <c r="FL87" s="8">
        <v>7.3038867388471179E-3</v>
      </c>
      <c r="FM87" s="8">
        <v>1.9672951101569816E-2</v>
      </c>
      <c r="FN87" s="8">
        <v>-2.0091177379969224E-2</v>
      </c>
      <c r="FO87" s="8">
        <v>2.8172891930210997E-3</v>
      </c>
      <c r="FP87" s="8">
        <v>-4.002427866657457E-3</v>
      </c>
      <c r="FQ87" s="8">
        <v>-3.933186720588859E-2</v>
      </c>
      <c r="FR87" s="8">
        <v>2.5489221881258503E-2</v>
      </c>
      <c r="FS87" s="8">
        <v>3.1599505311972198E-3</v>
      </c>
      <c r="FT87" s="8">
        <v>-3.8156559682127736E-2</v>
      </c>
      <c r="FU87" s="8">
        <v>6.2174841701314182E-3</v>
      </c>
      <c r="FV87" s="8">
        <v>2.3266149691327648E-2</v>
      </c>
      <c r="FW87" s="8">
        <v>2.3582543874837728E-2</v>
      </c>
      <c r="FX87" s="8">
        <v>-2.4889263330157285E-3</v>
      </c>
      <c r="FY87" s="8">
        <v>-7.0118130823759728E-4</v>
      </c>
      <c r="FZ87" s="8">
        <v>-2.8581342908740578E-2</v>
      </c>
      <c r="GA87" s="8">
        <v>2.9932155234954474E-2</v>
      </c>
      <c r="GB87" s="8">
        <v>1.0642809903155248E-2</v>
      </c>
      <c r="GC87" s="8">
        <v>-2.9231135156930765E-3</v>
      </c>
      <c r="GD87" s="8">
        <v>-1.4440628454456705E-2</v>
      </c>
      <c r="GE87" s="8">
        <v>-6.8434383545335764E-3</v>
      </c>
      <c r="GF87" s="8">
        <v>2.1750900871621404E-2</v>
      </c>
      <c r="GG87" s="8">
        <v>-4.7455241243519478E-2</v>
      </c>
      <c r="GH87" s="8">
        <v>-7.124141407000531E-3</v>
      </c>
      <c r="GI87" s="8">
        <v>-1.161957262936214E-2</v>
      </c>
      <c r="GJ87" s="8">
        <v>-3.4211916029980555E-2</v>
      </c>
      <c r="GK87" s="8">
        <v>3.1867242204198454E-2</v>
      </c>
      <c r="GL87" s="8">
        <v>-1.2231788895835316E-2</v>
      </c>
      <c r="GM87" s="8">
        <v>-1.0745503502566922E-3</v>
      </c>
      <c r="GN87" s="8">
        <v>-1.6248660136246179E-3</v>
      </c>
      <c r="GO87" s="8">
        <v>-2.1126139703721791E-2</v>
      </c>
      <c r="GP87" s="8">
        <v>2.3721181484087112E-2</v>
      </c>
      <c r="GQ87" s="8">
        <v>-1.3935156145091013E-2</v>
      </c>
      <c r="GR87" s="8">
        <v>3.3854093798722409E-2</v>
      </c>
      <c r="GS87" s="8">
        <v>1.8909617839734105E-2</v>
      </c>
      <c r="GT87" s="8">
        <v>-4.9401143039978918E-2</v>
      </c>
      <c r="GU87" s="8">
        <v>1.7052955438183276E-2</v>
      </c>
      <c r="GV87" s="8">
        <v>-3.6872496605475133E-2</v>
      </c>
      <c r="GW87" s="8">
        <v>-1.5493092621335691E-2</v>
      </c>
      <c r="GX87" s="8">
        <v>-7.9955774740841645E-3</v>
      </c>
      <c r="GY87" s="8">
        <v>-1.3652886061431349E-2</v>
      </c>
      <c r="GZ87" s="8">
        <v>-1.7743803669569139E-2</v>
      </c>
      <c r="HA87" s="8">
        <v>-1.4789454509569006E-2</v>
      </c>
      <c r="HB87" s="8">
        <v>2.0856612689987911E-2</v>
      </c>
      <c r="HC87" s="8">
        <v>-9.7709669589811921E-3</v>
      </c>
      <c r="HD87" s="8">
        <v>-1.065679627631845E-2</v>
      </c>
      <c r="HE87" s="8">
        <v>-4.136720253117894E-2</v>
      </c>
      <c r="HF87" s="8">
        <v>-5.95045537936785E-3</v>
      </c>
      <c r="HG87" s="8">
        <v>1.0118766577207755E-3</v>
      </c>
      <c r="HH87" s="8">
        <v>-8.508221295025209E-4</v>
      </c>
      <c r="HI87" s="8">
        <v>1.2251669174770857E-2</v>
      </c>
      <c r="HJ87" s="8">
        <v>-3.4100756259542245E-2</v>
      </c>
      <c r="HK87" s="8">
        <v>1.1847134563379422E-2</v>
      </c>
      <c r="HL87" s="8">
        <v>3.1256894850148195E-2</v>
      </c>
      <c r="HM87" s="8">
        <v>8.9912207189518645E-4</v>
      </c>
      <c r="HN87" s="8">
        <v>4.1470311067941149E-2</v>
      </c>
      <c r="HO87" s="8">
        <v>1.5609018897010649E-2</v>
      </c>
      <c r="HP87" s="8">
        <v>4.9013786182514341E-3</v>
      </c>
      <c r="HQ87" s="8">
        <v>-3.7725696842174236E-2</v>
      </c>
      <c r="HR87" s="8">
        <v>-1.9214753142671182E-3</v>
      </c>
      <c r="HS87" s="8">
        <v>-4.6248240120538991E-3</v>
      </c>
      <c r="HT87" s="8">
        <v>5.7760198319743244E-2</v>
      </c>
      <c r="HU87" s="8">
        <v>5.6196477007467299E-3</v>
      </c>
      <c r="HV87" s="8">
        <v>-1.8788838233964517E-2</v>
      </c>
      <c r="HW87" s="8">
        <v>4.7404055384442367E-3</v>
      </c>
      <c r="HX87" s="8">
        <v>3.951775460388085E-2</v>
      </c>
      <c r="HY87" s="8">
        <v>7.8655065362878557E-3</v>
      </c>
      <c r="HZ87" s="8">
        <v>-5.2224002365530292E-3</v>
      </c>
      <c r="IA87" s="8">
        <v>3.3014380860689405E-2</v>
      </c>
      <c r="IB87" s="8">
        <v>-5.4955887935114467E-3</v>
      </c>
      <c r="IC87" s="8">
        <v>-5.6757932427142846E-2</v>
      </c>
      <c r="ID87" s="8">
        <v>-7.7388012639511283E-3</v>
      </c>
      <c r="IE87" s="8">
        <v>3.2969352481497793E-2</v>
      </c>
      <c r="IF87" s="8">
        <v>6.8750167945273444E-3</v>
      </c>
      <c r="IG87" s="8">
        <v>-2.9633888186595542E-3</v>
      </c>
      <c r="IH87" s="8">
        <v>-3.0931939394685928E-2</v>
      </c>
      <c r="II87" s="8">
        <v>1.8789719613143741E-2</v>
      </c>
      <c r="IJ87" s="8">
        <v>2.2378338793796609E-2</v>
      </c>
      <c r="IK87" s="8">
        <v>2.1785605700714458E-2</v>
      </c>
      <c r="IL87" s="8">
        <v>-2.3501794687500036E-2</v>
      </c>
      <c r="IM87" s="8">
        <v>-6.1717562244272439E-2</v>
      </c>
      <c r="IN87" s="8">
        <v>-1.3982970087657712E-2</v>
      </c>
      <c r="IO87" s="8">
        <v>-7.6405993511559064E-2</v>
      </c>
      <c r="IP87" s="8">
        <v>4.0346189487461895E-2</v>
      </c>
      <c r="IQ87" s="8">
        <v>-1.7070169395919432E-2</v>
      </c>
      <c r="IR87" s="8">
        <v>-2.9704834399156554E-3</v>
      </c>
      <c r="IS87" s="8">
        <v>-3.3835289822564119E-3</v>
      </c>
      <c r="IT87" s="8">
        <v>2.7339814821206995E-2</v>
      </c>
    </row>
    <row r="88" spans="1:254" s="11" customFormat="1" x14ac:dyDescent="0.2">
      <c r="A88" s="10"/>
      <c r="B88" s="12">
        <v>8.75</v>
      </c>
      <c r="C88" s="2">
        <f t="shared" si="43"/>
        <v>8.8145678152901068E-3</v>
      </c>
      <c r="D88" s="3">
        <f t="shared" si="44"/>
        <v>2.6552015210043189E-2</v>
      </c>
      <c r="E88" s="8">
        <v>3.1784874788975542E-3</v>
      </c>
      <c r="F88" s="8">
        <v>2.1566236306084979E-2</v>
      </c>
      <c r="G88" s="8">
        <v>1.1789942455782888E-2</v>
      </c>
      <c r="H88" s="8">
        <v>-7.8615041690920373E-3</v>
      </c>
      <c r="I88" s="8">
        <v>-1.3534176361892983E-3</v>
      </c>
      <c r="J88" s="8">
        <v>5.4907337892788004E-2</v>
      </c>
      <c r="K88" s="8">
        <v>2.3576845107565483E-2</v>
      </c>
      <c r="L88" s="8">
        <v>6.297715492689325E-2</v>
      </c>
      <c r="M88" s="8">
        <v>-6.201021419296647E-3</v>
      </c>
      <c r="N88" s="8">
        <v>4.7021261842181486E-3</v>
      </c>
      <c r="O88" s="8">
        <v>-3.9300396213477751E-5</v>
      </c>
      <c r="P88" s="8">
        <v>-4.9783766940564821E-2</v>
      </c>
      <c r="Q88" s="8">
        <v>-1.4082910594971527E-2</v>
      </c>
      <c r="R88" s="8">
        <v>-5.4896650272273292E-3</v>
      </c>
      <c r="S88" s="8">
        <v>2.9983220608198108E-2</v>
      </c>
      <c r="T88" s="8">
        <v>2.9870936576901569E-2</v>
      </c>
      <c r="U88" s="8">
        <v>-1.7623661185749082E-3</v>
      </c>
      <c r="V88" s="8">
        <v>1.492805779544043E-2</v>
      </c>
      <c r="W88" s="8">
        <v>1.4342528950582502E-2</v>
      </c>
      <c r="X88" s="8">
        <v>-1.741772206403791E-2</v>
      </c>
      <c r="Y88" s="8">
        <v>-1.4757970784915718E-2</v>
      </c>
      <c r="Z88" s="8">
        <v>-2.6661442939542208E-2</v>
      </c>
      <c r="AA88" s="8">
        <v>-6.5582530903625175E-2</v>
      </c>
      <c r="AB88" s="8">
        <v>2.6552015210043189E-2</v>
      </c>
      <c r="AC88" s="8">
        <v>-5.3427211168668165E-3</v>
      </c>
      <c r="AD88" s="8">
        <v>-1.0878608960253972E-2</v>
      </c>
      <c r="AE88" s="8">
        <v>2.1305953691302407E-2</v>
      </c>
      <c r="AF88" s="8">
        <v>-3.911393213019787E-2</v>
      </c>
      <c r="AG88" s="8">
        <v>4.3542465482926673E-3</v>
      </c>
      <c r="AH88" s="8">
        <v>-5.8114652930077518E-3</v>
      </c>
      <c r="AI88" s="8">
        <v>-6.6610077704743545E-3</v>
      </c>
      <c r="AJ88" s="8">
        <v>2.1755680040579033E-2</v>
      </c>
      <c r="AK88" s="8">
        <v>-1.1544888069810161E-2</v>
      </c>
      <c r="AL88" s="8">
        <v>-3.6273004766899514E-3</v>
      </c>
      <c r="AM88" s="8">
        <v>1.9195316155854951E-2</v>
      </c>
      <c r="AN88" s="8">
        <v>-1.9414280362343439E-3</v>
      </c>
      <c r="AO88" s="8">
        <v>-1.3715232935389232E-2</v>
      </c>
      <c r="AP88" s="8">
        <v>1.933072953568879E-2</v>
      </c>
      <c r="AQ88" s="8">
        <v>-4.0114593301964846E-2</v>
      </c>
      <c r="AR88" s="8">
        <v>4.3371245924640089E-2</v>
      </c>
      <c r="AS88" s="8">
        <v>-2.348174321616131E-3</v>
      </c>
      <c r="AT88" s="8">
        <v>3.3628108598399292E-3</v>
      </c>
      <c r="AU88" s="8">
        <v>-1.8475082590685671E-2</v>
      </c>
      <c r="AV88" s="8">
        <v>3.5696627452004519E-2</v>
      </c>
      <c r="AW88" s="8">
        <v>-7.7519970241987646E-4</v>
      </c>
      <c r="AX88" s="8">
        <v>-1.3311091554235599E-3</v>
      </c>
      <c r="AY88" s="8">
        <v>3.1654126109265816E-2</v>
      </c>
      <c r="AZ88" s="8">
        <v>-5.2295432360383871E-2</v>
      </c>
      <c r="BA88" s="8">
        <v>-1.4545542509522252E-2</v>
      </c>
      <c r="BB88" s="8">
        <v>-1.1304423254762608E-2</v>
      </c>
      <c r="BC88" s="8">
        <v>-3.623792002671597E-2</v>
      </c>
      <c r="BD88" s="8">
        <v>-7.8157482292630365E-3</v>
      </c>
      <c r="BE88" s="8">
        <v>3.8009229234062719E-2</v>
      </c>
      <c r="BF88" s="8">
        <v>7.4730089745791012E-3</v>
      </c>
      <c r="BG88" s="8">
        <v>1.4006673818893756E-3</v>
      </c>
      <c r="BH88" s="8">
        <v>-4.3271435642418019E-2</v>
      </c>
      <c r="BI88" s="8">
        <v>1.8566868763812749E-2</v>
      </c>
      <c r="BJ88" s="8">
        <v>8.8102298521990918E-3</v>
      </c>
      <c r="BK88" s="8">
        <v>1.9695110013696816E-2</v>
      </c>
      <c r="BL88" s="8">
        <v>5.3220618880522742E-2</v>
      </c>
      <c r="BM88" s="8">
        <v>5.0565383511805562E-3</v>
      </c>
      <c r="BN88" s="8">
        <v>1.2772410135299839E-2</v>
      </c>
      <c r="BO88" s="8">
        <v>-1.4799115128000584E-2</v>
      </c>
      <c r="BP88" s="8">
        <v>-4.2230373952664976E-2</v>
      </c>
      <c r="BQ88" s="8">
        <v>5.659371100080747E-2</v>
      </c>
      <c r="BR88" s="8">
        <v>-2.6065632830370583E-2</v>
      </c>
      <c r="BS88" s="8">
        <v>1.6229924511445094E-2</v>
      </c>
      <c r="BT88" s="8">
        <v>-2.481500601147868E-2</v>
      </c>
      <c r="BU88" s="8">
        <v>3.6195980117015081E-2</v>
      </c>
      <c r="BV88" s="8">
        <v>-2.8295373783394313E-2</v>
      </c>
      <c r="BW88" s="8">
        <v>1.1957252470910618E-2</v>
      </c>
      <c r="BX88" s="8">
        <v>-3.0194214135920647E-2</v>
      </c>
      <c r="BY88" s="8">
        <v>1.770889821517934E-2</v>
      </c>
      <c r="BZ88" s="8">
        <v>-3.3063236882213964E-2</v>
      </c>
      <c r="CA88" s="8">
        <v>-3.5843928014291149E-2</v>
      </c>
      <c r="CB88" s="8">
        <v>-7.9791918555445762E-3</v>
      </c>
      <c r="CC88" s="8">
        <v>2.8389069984159555E-2</v>
      </c>
      <c r="CD88" s="8">
        <v>1.0171658642072867E-2</v>
      </c>
      <c r="CE88" s="8">
        <v>8.4009037533856815E-3</v>
      </c>
      <c r="CF88" s="8">
        <v>-9.0088423189745928E-3</v>
      </c>
      <c r="CG88" s="8">
        <v>1.6042716584141671E-2</v>
      </c>
      <c r="CH88" s="8">
        <v>6.1660940273047596E-3</v>
      </c>
      <c r="CI88" s="8">
        <v>-1.8059063528592934E-2</v>
      </c>
      <c r="CJ88" s="8">
        <v>1.3975198512003434E-2</v>
      </c>
      <c r="CK88" s="8">
        <v>-2.0667729817466535E-2</v>
      </c>
      <c r="CL88" s="8">
        <v>-2.3942864997788103E-2</v>
      </c>
      <c r="CM88" s="8">
        <v>9.9351557703919458E-3</v>
      </c>
      <c r="CN88" s="8">
        <v>3.0820273444534321E-3</v>
      </c>
      <c r="CO88" s="8">
        <v>-1.5617163505125486E-2</v>
      </c>
      <c r="CP88" s="8">
        <v>-7.4206265476872979E-3</v>
      </c>
      <c r="CQ88" s="8">
        <v>6.2974230272452067E-2</v>
      </c>
      <c r="CR88" s="8">
        <v>-2.4870897694694666E-2</v>
      </c>
      <c r="CS88" s="8">
        <v>-3.1222857586852337E-2</v>
      </c>
      <c r="CT88" s="8">
        <v>-1.4117794895665559E-3</v>
      </c>
      <c r="CU88" s="8">
        <v>4.3531484604293118E-2</v>
      </c>
      <c r="CV88" s="8">
        <v>-2.0578199432168383E-2</v>
      </c>
      <c r="CW88" s="8">
        <v>-2.669622992818764E-2</v>
      </c>
      <c r="CX88" s="8">
        <v>5.1325634943823403E-3</v>
      </c>
      <c r="CY88" s="8">
        <v>2.8752193492547755E-2</v>
      </c>
      <c r="CZ88" s="8">
        <v>3.5444910424815707E-2</v>
      </c>
      <c r="DA88" s="8">
        <v>1.6631123442481272E-2</v>
      </c>
      <c r="DB88" s="8">
        <v>-3.2679414965819241E-2</v>
      </c>
      <c r="DC88" s="8">
        <v>-9.8805492479264942E-3</v>
      </c>
      <c r="DD88" s="8">
        <v>3.4198954617876975E-4</v>
      </c>
      <c r="DE88" s="8">
        <v>-2.9360961973299515E-2</v>
      </c>
      <c r="DF88" s="8">
        <v>3.1058575208137255E-2</v>
      </c>
      <c r="DG88" s="8">
        <v>-5.056163225329674E-2</v>
      </c>
      <c r="DH88" s="8">
        <v>-1.9422662447611191E-2</v>
      </c>
      <c r="DI88" s="8">
        <v>-2.2356707111422292E-2</v>
      </c>
      <c r="DJ88" s="8">
        <v>-7.488048333916808E-4</v>
      </c>
      <c r="DK88" s="8">
        <v>2.2623193079115526E-2</v>
      </c>
      <c r="DL88" s="8">
        <v>9.0162687789542215E-3</v>
      </c>
      <c r="DM88" s="8">
        <v>9.7263529705188395E-3</v>
      </c>
      <c r="DN88" s="8">
        <v>2.489556492729951E-2</v>
      </c>
      <c r="DO88" s="8">
        <v>-3.9695098587335526E-2</v>
      </c>
      <c r="DP88" s="8">
        <v>1.9382660806721769E-2</v>
      </c>
      <c r="DQ88" s="8">
        <v>2.9829572582286065E-3</v>
      </c>
      <c r="DR88" s="8">
        <v>-2.4267988435879982E-2</v>
      </c>
      <c r="DS88" s="8">
        <v>9.5168010325226426E-4</v>
      </c>
      <c r="DT88" s="8">
        <v>4.7608073642084331E-3</v>
      </c>
      <c r="DU88" s="8">
        <v>-6.671710706325315E-3</v>
      </c>
      <c r="DV88" s="8">
        <v>1.4450905506144064E-2</v>
      </c>
      <c r="DW88" s="8">
        <v>6.4657922965769277E-3</v>
      </c>
      <c r="DX88" s="8">
        <v>5.105647344677227E-2</v>
      </c>
      <c r="DY88" s="8">
        <v>-1.2395191717556417E-2</v>
      </c>
      <c r="DZ88" s="8">
        <v>-2.6908072704704133E-2</v>
      </c>
      <c r="EA88" s="8">
        <v>5.4512995443071671E-2</v>
      </c>
      <c r="EB88" s="8">
        <v>3.2732449666169755E-3</v>
      </c>
      <c r="EC88" s="8">
        <v>3.9717672351791133E-3</v>
      </c>
      <c r="ED88" s="8">
        <v>1.644008765026727E-2</v>
      </c>
      <c r="EE88" s="8">
        <v>9.6876750716950455E-3</v>
      </c>
      <c r="EF88" s="8">
        <v>-2.4319336778097222E-2</v>
      </c>
      <c r="EG88" s="8">
        <v>1.8556368217732766E-2</v>
      </c>
      <c r="EH88" s="8">
        <v>-1.0300649778212184E-2</v>
      </c>
      <c r="EI88" s="8">
        <v>-3.6765015905753769E-2</v>
      </c>
      <c r="EJ88" s="8">
        <v>1.7919125299559059E-2</v>
      </c>
      <c r="EK88" s="8">
        <v>-2.1997780806440576E-2</v>
      </c>
      <c r="EL88" s="8">
        <v>-5.0766657528114253E-3</v>
      </c>
      <c r="EM88" s="8">
        <v>5.5948887314744705E-3</v>
      </c>
      <c r="EN88" s="8">
        <v>-1.1080990311240178E-2</v>
      </c>
      <c r="EO88" s="8">
        <v>-5.848939913977412E-3</v>
      </c>
      <c r="EP88" s="8">
        <v>9.6951867616152307E-3</v>
      </c>
      <c r="EQ88" s="8">
        <v>2.4934147931912003E-2</v>
      </c>
      <c r="ER88" s="8">
        <v>-2.5399057417432425E-2</v>
      </c>
      <c r="ES88" s="8">
        <v>2.5388325445912796E-2</v>
      </c>
      <c r="ET88" s="8">
        <v>-2.3056173891470987E-2</v>
      </c>
      <c r="EU88" s="8">
        <v>1.4765342471498126E-2</v>
      </c>
      <c r="EV88" s="8">
        <v>-2.5231099715432824E-2</v>
      </c>
      <c r="EW88" s="8">
        <v>-2.2544878951091807E-5</v>
      </c>
      <c r="EX88" s="8">
        <v>8.9936857321204489E-3</v>
      </c>
      <c r="EY88" s="8">
        <v>1.4876461848186778E-2</v>
      </c>
      <c r="EZ88" s="8">
        <v>-1.005706892134197E-2</v>
      </c>
      <c r="FA88" s="8">
        <v>-1.2446519648747212E-3</v>
      </c>
      <c r="FB88" s="8">
        <v>-8.5244144377699949E-3</v>
      </c>
      <c r="FC88" s="8">
        <v>-5.142573824067595E-2</v>
      </c>
      <c r="FD88" s="8">
        <v>2.0276314584106461E-2</v>
      </c>
      <c r="FE88" s="8">
        <v>8.1419190803493913E-3</v>
      </c>
      <c r="FF88" s="8">
        <v>-8.6500050004659768E-3</v>
      </c>
      <c r="FG88" s="8">
        <v>1.1373932872669093E-2</v>
      </c>
      <c r="FH88" s="8">
        <v>3.882706169423128E-4</v>
      </c>
      <c r="FI88" s="8">
        <v>1.1916513164634795E-2</v>
      </c>
      <c r="FJ88" s="8">
        <v>-1.8640076066613095E-2</v>
      </c>
      <c r="FK88" s="8">
        <v>-2.4880550279132094E-2</v>
      </c>
      <c r="FL88" s="8">
        <v>7.1547098879916615E-3</v>
      </c>
      <c r="FM88" s="8">
        <v>2.6299727997809885E-2</v>
      </c>
      <c r="FN88" s="8">
        <v>-1.8723961130298415E-2</v>
      </c>
      <c r="FO88" s="8">
        <v>4.1189261244748004E-3</v>
      </c>
      <c r="FP88" s="8">
        <v>-6.2128181648600095E-3</v>
      </c>
      <c r="FQ88" s="8">
        <v>-3.2225838687389395E-2</v>
      </c>
      <c r="FR88" s="8">
        <v>1.902441940512635E-2</v>
      </c>
      <c r="FS88" s="8">
        <v>-2.0315918614719139E-3</v>
      </c>
      <c r="FT88" s="8">
        <v>-3.0211932685163152E-2</v>
      </c>
      <c r="FU88" s="8">
        <v>5.3817257246702652E-3</v>
      </c>
      <c r="FV88" s="8">
        <v>2.0849844924216404E-2</v>
      </c>
      <c r="FW88" s="8">
        <v>1.8682833142890931E-2</v>
      </c>
      <c r="FX88" s="8">
        <v>-5.6241862378766036E-3</v>
      </c>
      <c r="FY88" s="8">
        <v>4.3675611159950667E-3</v>
      </c>
      <c r="FZ88" s="8">
        <v>-1.7650584115373354E-2</v>
      </c>
      <c r="GA88" s="8">
        <v>2.368520636223273E-2</v>
      </c>
      <c r="GB88" s="8">
        <v>-6.0142048097285156E-3</v>
      </c>
      <c r="GC88" s="8">
        <v>4.3359612895481417E-3</v>
      </c>
      <c r="GD88" s="8">
        <v>-1.0943199777152912E-2</v>
      </c>
      <c r="GE88" s="8">
        <v>2.4409963459324502E-3</v>
      </c>
      <c r="GF88" s="8">
        <v>1.5751378630323921E-2</v>
      </c>
      <c r="GG88" s="8">
        <v>-4.3637538211687386E-2</v>
      </c>
      <c r="GH88" s="8">
        <v>-1.9498126622309375E-2</v>
      </c>
      <c r="GI88" s="8">
        <v>-7.4926410114281583E-3</v>
      </c>
      <c r="GJ88" s="8">
        <v>-3.6589662031093435E-2</v>
      </c>
      <c r="GK88" s="8">
        <v>1.8007143840997678E-2</v>
      </c>
      <c r="GL88" s="8">
        <v>-1.5745359307062168E-2</v>
      </c>
      <c r="GM88" s="8">
        <v>7.2044639210993022E-3</v>
      </c>
      <c r="GN88" s="8">
        <v>-6.1298645576128297E-3</v>
      </c>
      <c r="GO88" s="8">
        <v>-1.9951865799711574E-2</v>
      </c>
      <c r="GP88" s="8">
        <v>1.4280919430733098E-2</v>
      </c>
      <c r="GQ88" s="8">
        <v>-1.9823019497710079E-2</v>
      </c>
      <c r="GR88" s="8">
        <v>3.186175693781116E-2</v>
      </c>
      <c r="GS88" s="8">
        <v>1.8801976476588801E-2</v>
      </c>
      <c r="GT88" s="8">
        <v>-2.9764557225634175E-2</v>
      </c>
      <c r="GU88" s="8">
        <v>-2.610028539113407E-3</v>
      </c>
      <c r="GV88" s="8">
        <v>-2.4895921512488081E-2</v>
      </c>
      <c r="GW88" s="8">
        <v>-2.023628360014551E-2</v>
      </c>
      <c r="GX88" s="8">
        <v>-9.3619410741719311E-3</v>
      </c>
      <c r="GY88" s="8">
        <v>-6.9461384220164679E-3</v>
      </c>
      <c r="GZ88" s="8">
        <v>-1.4078302990221642E-2</v>
      </c>
      <c r="HA88" s="8">
        <v>-1.7407527191943835E-2</v>
      </c>
      <c r="HB88" s="8">
        <v>1.0186376181919247E-2</v>
      </c>
      <c r="HC88" s="8">
        <v>-9.1906368455773324E-3</v>
      </c>
      <c r="HD88" s="8">
        <v>-6.5922283489939851E-3</v>
      </c>
      <c r="HE88" s="8">
        <v>-3.4978836272345604E-2</v>
      </c>
      <c r="HF88" s="8">
        <v>-9.0245091317038839E-3</v>
      </c>
      <c r="HG88" s="8">
        <v>-2.5246796425608953E-3</v>
      </c>
      <c r="HH88" s="8">
        <v>-1.7386995928614368E-4</v>
      </c>
      <c r="HI88" s="8">
        <v>4.6695736563954204E-3</v>
      </c>
      <c r="HJ88" s="8">
        <v>-3.4459099584488027E-2</v>
      </c>
      <c r="HK88" s="8">
        <v>-5.5420403263337081E-4</v>
      </c>
      <c r="HL88" s="8">
        <v>2.2853722211581828E-2</v>
      </c>
      <c r="HM88" s="8">
        <v>6.3297168543792748E-3</v>
      </c>
      <c r="HN88" s="8">
        <v>3.0852597660247318E-2</v>
      </c>
      <c r="HO88" s="8">
        <v>1.5552186651613856E-2</v>
      </c>
      <c r="HP88" s="8">
        <v>1.3102657054997371E-2</v>
      </c>
      <c r="HQ88" s="8">
        <v>-3.369272475597905E-2</v>
      </c>
      <c r="HR88" s="8">
        <v>2.4461041206681397E-3</v>
      </c>
      <c r="HS88" s="8">
        <v>2.8602484318783344E-3</v>
      </c>
      <c r="HT88" s="8">
        <v>6.5289799722204084E-2</v>
      </c>
      <c r="HU88" s="8">
        <v>-3.5902897055361954E-3</v>
      </c>
      <c r="HV88" s="8">
        <v>-8.3066088001852723E-3</v>
      </c>
      <c r="HW88" s="8">
        <v>5.5961951673005189E-4</v>
      </c>
      <c r="HX88" s="8">
        <v>2.5294069409404596E-2</v>
      </c>
      <c r="HY88" s="8">
        <v>-3.7645753450534641E-4</v>
      </c>
      <c r="HZ88" s="8">
        <v>-2.3018572626813949E-3</v>
      </c>
      <c r="IA88" s="8">
        <v>4.8782612514203183E-2</v>
      </c>
      <c r="IB88" s="8">
        <v>-9.190855871752078E-3</v>
      </c>
      <c r="IC88" s="8">
        <v>-4.1098814893920164E-2</v>
      </c>
      <c r="ID88" s="8">
        <v>-1.21509682115718E-2</v>
      </c>
      <c r="IE88" s="8">
        <v>3.0359314264955854E-2</v>
      </c>
      <c r="IF88" s="8">
        <v>6.1895325720693686E-3</v>
      </c>
      <c r="IG88" s="8">
        <v>4.5949645122927985E-4</v>
      </c>
      <c r="IH88" s="8">
        <v>-2.6536619874046583E-2</v>
      </c>
      <c r="II88" s="8">
        <v>7.8292737179625413E-3</v>
      </c>
      <c r="IJ88" s="8">
        <v>2.1518814040314319E-2</v>
      </c>
      <c r="IK88" s="8">
        <v>2.3392408511725908E-2</v>
      </c>
      <c r="IL88" s="8">
        <v>-1.5523851113979956E-2</v>
      </c>
      <c r="IM88" s="8">
        <v>-5.4024751766601729E-2</v>
      </c>
      <c r="IN88" s="8">
        <v>-2.4231611064921228E-2</v>
      </c>
      <c r="IO88" s="8">
        <v>-6.349639970167878E-2</v>
      </c>
      <c r="IP88" s="8">
        <v>3.1688657875619211E-2</v>
      </c>
      <c r="IQ88" s="8">
        <v>-1.9747774537751228E-2</v>
      </c>
      <c r="IR88" s="8">
        <v>-7.8078843841822287E-3</v>
      </c>
      <c r="IS88" s="8">
        <v>-3.0812797079704177E-3</v>
      </c>
      <c r="IT88" s="8">
        <v>2.2034742363982229E-2</v>
      </c>
    </row>
    <row r="89" spans="1:254" s="11" customFormat="1" x14ac:dyDescent="0.2">
      <c r="A89" s="10"/>
      <c r="B89" s="12">
        <v>9</v>
      </c>
      <c r="C89" s="2">
        <f t="shared" si="43"/>
        <v>7.1029434784541119E-3</v>
      </c>
      <c r="D89" s="3">
        <f t="shared" si="44"/>
        <v>2.2997612795466922E-2</v>
      </c>
      <c r="E89" s="8">
        <v>-1.5221475833754605E-3</v>
      </c>
      <c r="F89" s="8">
        <v>2.2997612795466922E-2</v>
      </c>
      <c r="G89" s="8">
        <v>1.3844980733390723E-2</v>
      </c>
      <c r="H89" s="8">
        <v>1.8451990094780768E-3</v>
      </c>
      <c r="I89" s="8">
        <v>5.058031384789774E-4</v>
      </c>
      <c r="J89" s="8">
        <v>4.8690364230931031E-2</v>
      </c>
      <c r="K89" s="8">
        <v>2.4600348457969372E-2</v>
      </c>
      <c r="L89" s="8">
        <v>4.8274077406406886E-2</v>
      </c>
      <c r="M89" s="8">
        <v>-4.3832060893026492E-3</v>
      </c>
      <c r="N89" s="8">
        <v>2.099324538357844E-4</v>
      </c>
      <c r="O89" s="8">
        <v>3.2344964685786237E-3</v>
      </c>
      <c r="P89" s="8">
        <v>-3.9226460648098774E-2</v>
      </c>
      <c r="Q89" s="8">
        <v>-1.5122853741786256E-2</v>
      </c>
      <c r="R89" s="8">
        <v>-3.3609761990744808E-3</v>
      </c>
      <c r="S89" s="8">
        <v>2.6420330819021648E-2</v>
      </c>
      <c r="T89" s="8">
        <v>1.7664751690571759E-2</v>
      </c>
      <c r="U89" s="8">
        <v>4.1935704980772537E-3</v>
      </c>
      <c r="V89" s="8">
        <v>1.3008845341239611E-2</v>
      </c>
      <c r="W89" s="8">
        <v>1.3670948620380756E-2</v>
      </c>
      <c r="X89" s="8">
        <v>-7.5806892846143892E-3</v>
      </c>
      <c r="Y89" s="8">
        <v>-1.0262328281965813E-2</v>
      </c>
      <c r="Z89" s="8">
        <v>-2.2166607100830626E-2</v>
      </c>
      <c r="AA89" s="8">
        <v>-6.0278481636563394E-2</v>
      </c>
      <c r="AB89" s="8">
        <v>1.9427111514772916E-2</v>
      </c>
      <c r="AC89" s="8">
        <v>-6.1444899245392606E-3</v>
      </c>
      <c r="AD89" s="8">
        <v>-1.2031350712448874E-2</v>
      </c>
      <c r="AE89" s="8">
        <v>1.9399135773656852E-2</v>
      </c>
      <c r="AF89" s="8">
        <v>-3.1552747725811098E-2</v>
      </c>
      <c r="AG89" s="8">
        <v>1.1046717796842367E-2</v>
      </c>
      <c r="AH89" s="8">
        <v>-1.0609414139242157E-2</v>
      </c>
      <c r="AI89" s="8">
        <v>-5.890082130194485E-3</v>
      </c>
      <c r="AJ89" s="8">
        <v>1.8512805878395891E-2</v>
      </c>
      <c r="AK89" s="8">
        <v>-9.1005685796662419E-3</v>
      </c>
      <c r="AL89" s="8">
        <v>-2.1925231672325907E-3</v>
      </c>
      <c r="AM89" s="8">
        <v>1.3648189063245955E-2</v>
      </c>
      <c r="AN89" s="8">
        <v>1.3127453027135597E-3</v>
      </c>
      <c r="AO89" s="8">
        <v>-5.4408950641735634E-3</v>
      </c>
      <c r="AP89" s="8">
        <v>1.6497823475414869E-2</v>
      </c>
      <c r="AQ89" s="8">
        <v>-3.7195571106196229E-2</v>
      </c>
      <c r="AR89" s="8">
        <v>2.8703204358411796E-2</v>
      </c>
      <c r="AS89" s="8">
        <v>-8.8894391783107193E-3</v>
      </c>
      <c r="AT89" s="8">
        <v>3.9532336641471405E-4</v>
      </c>
      <c r="AU89" s="8">
        <v>-3.9282981855104371E-3</v>
      </c>
      <c r="AV89" s="8">
        <v>2.7677511735865037E-2</v>
      </c>
      <c r="AW89" s="8">
        <v>-2.7451710808750127E-3</v>
      </c>
      <c r="AX89" s="8">
        <v>3.5100906841785406E-3</v>
      </c>
      <c r="AY89" s="8">
        <v>2.9215112025992522E-2</v>
      </c>
      <c r="AZ89" s="8">
        <v>-4.4474348754790845E-2</v>
      </c>
      <c r="BA89" s="8">
        <v>-1.4366190518835871E-2</v>
      </c>
      <c r="BB89" s="8">
        <v>-2.7057058246168081E-3</v>
      </c>
      <c r="BC89" s="8">
        <v>-3.3884782527568443E-2</v>
      </c>
      <c r="BD89" s="8">
        <v>-1.1479460028155308E-2</v>
      </c>
      <c r="BE89" s="8">
        <v>2.4497837087484813E-2</v>
      </c>
      <c r="BF89" s="8">
        <v>7.5366536099246775E-3</v>
      </c>
      <c r="BG89" s="8">
        <v>-4.990734032956419E-3</v>
      </c>
      <c r="BH89" s="8">
        <v>-3.3428835000614276E-2</v>
      </c>
      <c r="BI89" s="8">
        <v>1.5645075732367855E-2</v>
      </c>
      <c r="BJ89" s="8">
        <v>4.6685583157669852E-4</v>
      </c>
      <c r="BK89" s="8">
        <v>1.1722407897760724E-2</v>
      </c>
      <c r="BL89" s="8">
        <v>4.416835033151513E-2</v>
      </c>
      <c r="BM89" s="8">
        <v>3.8003783587014991E-3</v>
      </c>
      <c r="BN89" s="8">
        <v>5.9243655030254694E-3</v>
      </c>
      <c r="BO89" s="8">
        <v>-7.4878865666814787E-3</v>
      </c>
      <c r="BP89" s="8">
        <v>-2.8501928136104193E-2</v>
      </c>
      <c r="BQ89" s="8">
        <v>3.9124337766632905E-2</v>
      </c>
      <c r="BR89" s="8">
        <v>-1.6340526668107647E-2</v>
      </c>
      <c r="BS89" s="8">
        <v>1.4459462172449693E-2</v>
      </c>
      <c r="BT89" s="8">
        <v>-1.9707386290244822E-2</v>
      </c>
      <c r="BU89" s="8">
        <v>2.6203118065273999E-2</v>
      </c>
      <c r="BV89" s="8">
        <v>-2.9302900043832479E-2</v>
      </c>
      <c r="BW89" s="8">
        <v>9.9098156056510733E-3</v>
      </c>
      <c r="BX89" s="8">
        <v>-2.7276353449082788E-2</v>
      </c>
      <c r="BY89" s="8">
        <v>9.3660904804157494E-3</v>
      </c>
      <c r="BZ89" s="8">
        <v>-2.4372014411516645E-2</v>
      </c>
      <c r="CA89" s="8">
        <v>-3.0056143949512913E-2</v>
      </c>
      <c r="CB89" s="8">
        <v>-1.5790302711128773E-3</v>
      </c>
      <c r="CC89" s="8">
        <v>2.0160460614022963E-2</v>
      </c>
      <c r="CD89" s="8">
        <v>8.7297849036045219E-3</v>
      </c>
      <c r="CE89" s="8">
        <v>1.1484543736381719E-2</v>
      </c>
      <c r="CF89" s="8">
        <v>-7.7643521488827416E-3</v>
      </c>
      <c r="CG89" s="8">
        <v>1.3021017867356807E-2</v>
      </c>
      <c r="CH89" s="8">
        <v>2.6362406002576888E-3</v>
      </c>
      <c r="CI89" s="8">
        <v>-2.1623875791209654E-2</v>
      </c>
      <c r="CJ89" s="8">
        <v>1.566029274750249E-2</v>
      </c>
      <c r="CK89" s="8">
        <v>-9.1384791116919592E-3</v>
      </c>
      <c r="CL89" s="8">
        <v>-1.6428452898613374E-2</v>
      </c>
      <c r="CM89" s="8">
        <v>1.262839017095467E-2</v>
      </c>
      <c r="CN89" s="8">
        <v>-1.6495930132153849E-3</v>
      </c>
      <c r="CO89" s="8">
        <v>-1.450319052009888E-2</v>
      </c>
      <c r="CP89" s="8">
        <v>3.3296917723588601E-3</v>
      </c>
      <c r="CQ89" s="8">
        <v>5.0957968843371088E-2</v>
      </c>
      <c r="CR89" s="8">
        <v>-3.1797798332270422E-2</v>
      </c>
      <c r="CS89" s="8">
        <v>-1.5680528221694703E-2</v>
      </c>
      <c r="CT89" s="8">
        <v>-8.7687044942723127E-3</v>
      </c>
      <c r="CU89" s="8">
        <v>4.5626902419268478E-2</v>
      </c>
      <c r="CV89" s="8">
        <v>-1.2791874734967318E-2</v>
      </c>
      <c r="CW89" s="8">
        <v>-2.8619307721244047E-2</v>
      </c>
      <c r="CX89" s="8">
        <v>1.4380934884440366E-3</v>
      </c>
      <c r="CY89" s="8">
        <v>3.2372830448719164E-2</v>
      </c>
      <c r="CZ89" s="8">
        <v>2.765833732071199E-2</v>
      </c>
      <c r="DA89" s="8">
        <v>7.7490031895507405E-3</v>
      </c>
      <c r="DB89" s="8">
        <v>-2.0469152385971821E-2</v>
      </c>
      <c r="DC89" s="8">
        <v>-1.3498007315578556E-2</v>
      </c>
      <c r="DD89" s="8">
        <v>-4.0719496472693753E-3</v>
      </c>
      <c r="DE89" s="8">
        <v>-1.9182608667928418E-2</v>
      </c>
      <c r="DF89" s="8">
        <v>2.5068922797246124E-2</v>
      </c>
      <c r="DG89" s="8">
        <v>-4.241506341704606E-2</v>
      </c>
      <c r="DH89" s="8">
        <v>-1.9194595660622607E-2</v>
      </c>
      <c r="DI89" s="8">
        <v>-9.9903979357376105E-3</v>
      </c>
      <c r="DJ89" s="8">
        <v>-5.413675706205677E-3</v>
      </c>
      <c r="DK89" s="8">
        <v>1.5999742122039945E-2</v>
      </c>
      <c r="DL89" s="8">
        <v>1.0682747725891589E-2</v>
      </c>
      <c r="DM89" s="8">
        <v>5.7690049383779946E-3</v>
      </c>
      <c r="DN89" s="8">
        <v>2.8610889709012072E-2</v>
      </c>
      <c r="DO89" s="8">
        <v>-3.3056330348460693E-2</v>
      </c>
      <c r="DP89" s="8">
        <v>1.9327174835337031E-2</v>
      </c>
      <c r="DQ89" s="8">
        <v>-2.5794889297672541E-3</v>
      </c>
      <c r="DR89" s="8">
        <v>-2.3833849438921556E-2</v>
      </c>
      <c r="DS89" s="8">
        <v>1.0929126218738247E-3</v>
      </c>
      <c r="DT89" s="8">
        <v>-8.0677249624689501E-4</v>
      </c>
      <c r="DU89" s="8">
        <v>3.9702280255737299E-3</v>
      </c>
      <c r="DV89" s="8">
        <v>5.1422680234048043E-3</v>
      </c>
      <c r="DW89" s="8">
        <v>-3.6643025264381165E-3</v>
      </c>
      <c r="DX89" s="8">
        <v>3.65243381051032E-2</v>
      </c>
      <c r="DY89" s="8">
        <v>-1.3318333456041956E-3</v>
      </c>
      <c r="DZ89" s="8">
        <v>-1.8365221043098942E-2</v>
      </c>
      <c r="EA89" s="8">
        <v>4.590351809995491E-2</v>
      </c>
      <c r="EB89" s="8">
        <v>2.2570892034592949E-3</v>
      </c>
      <c r="EC89" s="8">
        <v>8.5837089378706585E-3</v>
      </c>
      <c r="ED89" s="8">
        <v>2.342948849961532E-2</v>
      </c>
      <c r="EE89" s="8">
        <v>6.9603001564189984E-3</v>
      </c>
      <c r="EF89" s="8">
        <v>-1.9929495972979994E-2</v>
      </c>
      <c r="EG89" s="8">
        <v>1.9760126032726311E-2</v>
      </c>
      <c r="EH89" s="8">
        <v>-9.0332301366984405E-3</v>
      </c>
      <c r="EI89" s="8">
        <v>-2.3058798026995106E-2</v>
      </c>
      <c r="EJ89" s="8">
        <v>1.682686216914709E-2</v>
      </c>
      <c r="EK89" s="8">
        <v>-1.8547219939793406E-2</v>
      </c>
      <c r="EL89" s="8">
        <v>-4.0347163421642282E-3</v>
      </c>
      <c r="EM89" s="8">
        <v>-8.7241675652615994E-3</v>
      </c>
      <c r="EN89" s="8">
        <v>-1.6035783324680017E-2</v>
      </c>
      <c r="EO89" s="8">
        <v>-1.5819428446075326E-3</v>
      </c>
      <c r="EP89" s="8">
        <v>1.7463043504204051E-3</v>
      </c>
      <c r="EQ89" s="8">
        <v>1.8426040659672162E-2</v>
      </c>
      <c r="ER89" s="8">
        <v>-1.7620965048697611E-2</v>
      </c>
      <c r="ES89" s="8">
        <v>2.0032749625859193E-2</v>
      </c>
      <c r="ET89" s="8">
        <v>-6.4034893948808416E-3</v>
      </c>
      <c r="EU89" s="8">
        <v>1.1259494134806522E-2</v>
      </c>
      <c r="EV89" s="8">
        <v>-2.1001989423232337E-2</v>
      </c>
      <c r="EW89" s="8">
        <v>-5.7382881820111573E-3</v>
      </c>
      <c r="EX89" s="8">
        <v>8.6001139941840887E-3</v>
      </c>
      <c r="EY89" s="8">
        <v>1.0000385980433533E-2</v>
      </c>
      <c r="EZ89" s="8">
        <v>-1.2020060221545073E-2</v>
      </c>
      <c r="FA89" s="8">
        <v>-3.1810465376312103E-3</v>
      </c>
      <c r="FB89" s="8">
        <v>-7.8328223910676051E-3</v>
      </c>
      <c r="FC89" s="8">
        <v>-4.2386756855388917E-2</v>
      </c>
      <c r="FD89" s="8">
        <v>1.4933581261253152E-2</v>
      </c>
      <c r="FE89" s="8">
        <v>6.8476239404380509E-3</v>
      </c>
      <c r="FF89" s="8">
        <v>-1.0520834632250023E-3</v>
      </c>
      <c r="FG89" s="8">
        <v>6.1052868760757273E-3</v>
      </c>
      <c r="FH89" s="8">
        <v>-4.1252142468562458E-3</v>
      </c>
      <c r="FI89" s="8">
        <v>1.2091837066020752E-2</v>
      </c>
      <c r="FJ89" s="8">
        <v>-1.2270730885214937E-2</v>
      </c>
      <c r="FK89" s="8">
        <v>-1.9886688045550382E-2</v>
      </c>
      <c r="FL89" s="8">
        <v>1.1957101381265572E-2</v>
      </c>
      <c r="FM89" s="8">
        <v>1.2114200705399425E-2</v>
      </c>
      <c r="FN89" s="8">
        <v>-1.9300658101717258E-2</v>
      </c>
      <c r="FO89" s="8">
        <v>4.1418781489217654E-3</v>
      </c>
      <c r="FP89" s="8">
        <v>-3.0091420511758268E-3</v>
      </c>
      <c r="FQ89" s="8">
        <v>-1.9883860610853461E-2</v>
      </c>
      <c r="FR89" s="8">
        <v>1.4491661970355098E-2</v>
      </c>
      <c r="FS89" s="8">
        <v>-3.5013497082997946E-3</v>
      </c>
      <c r="FT89" s="8">
        <v>-2.4100603073941303E-2</v>
      </c>
      <c r="FU89" s="8">
        <v>5.0988381103513822E-3</v>
      </c>
      <c r="FV89" s="8">
        <v>2.1402265645920127E-2</v>
      </c>
      <c r="FW89" s="8">
        <v>1.4856453608647617E-2</v>
      </c>
      <c r="FX89" s="8">
        <v>-6.2995465807275594E-3</v>
      </c>
      <c r="FY89" s="8">
        <v>-4.5796625900213633E-3</v>
      </c>
      <c r="FZ89" s="8">
        <v>-1.0389239730993323E-2</v>
      </c>
      <c r="GA89" s="8">
        <v>1.0905765254299343E-2</v>
      </c>
      <c r="GB89" s="8">
        <v>-4.9176473630785922E-3</v>
      </c>
      <c r="GC89" s="8">
        <v>8.8405488804465457E-3</v>
      </c>
      <c r="GD89" s="8">
        <v>-4.6023392632284776E-3</v>
      </c>
      <c r="GE89" s="8">
        <v>-2.3322283261443394E-3</v>
      </c>
      <c r="GF89" s="8">
        <v>1.8472179441904636E-2</v>
      </c>
      <c r="GG89" s="8">
        <v>-3.4119054690853093E-2</v>
      </c>
      <c r="GH89" s="8">
        <v>-1.5743965428672665E-2</v>
      </c>
      <c r="GI89" s="8">
        <v>-8.4639992155194355E-3</v>
      </c>
      <c r="GJ89" s="8">
        <v>-2.0096687980060174E-2</v>
      </c>
      <c r="GK89" s="8">
        <v>4.0206648292882841E-3</v>
      </c>
      <c r="GL89" s="8">
        <v>-9.5713563319484996E-3</v>
      </c>
      <c r="GM89" s="8">
        <v>-6.4526787517435458E-5</v>
      </c>
      <c r="GN89" s="8">
        <v>-1.1025444994334707E-2</v>
      </c>
      <c r="GO89" s="8">
        <v>-2.1396262854791299E-2</v>
      </c>
      <c r="GP89" s="8">
        <v>8.1011898345992595E-3</v>
      </c>
      <c r="GQ89" s="8">
        <v>-1.6690539048728734E-2</v>
      </c>
      <c r="GR89" s="8">
        <v>2.1584125019086658E-2</v>
      </c>
      <c r="GS89" s="8">
        <v>9.8164258779374902E-3</v>
      </c>
      <c r="GT89" s="8">
        <v>-2.6275632718700703E-2</v>
      </c>
      <c r="GU89" s="8">
        <v>-2.0410381204615247E-3</v>
      </c>
      <c r="GV89" s="8">
        <v>-1.3822949684524945E-2</v>
      </c>
      <c r="GW89" s="8">
        <v>-1.6087996044437364E-2</v>
      </c>
      <c r="GX89" s="8">
        <v>-6.2990277581990023E-3</v>
      </c>
      <c r="GY89" s="8">
        <v>-1.4578869451776069E-2</v>
      </c>
      <c r="GZ89" s="8">
        <v>-1.1989482321041738E-2</v>
      </c>
      <c r="HA89" s="8">
        <v>-2.0438465802193051E-2</v>
      </c>
      <c r="HB89" s="8">
        <v>1.8347321606969128E-2</v>
      </c>
      <c r="HC89" s="8">
        <v>-8.9193185221636551E-3</v>
      </c>
      <c r="HD89" s="8">
        <v>-1.2559880348525121E-2</v>
      </c>
      <c r="HE89" s="8">
        <v>-3.2568044698524666E-2</v>
      </c>
      <c r="HF89" s="8">
        <v>-1.0791246666229083E-2</v>
      </c>
      <c r="HG89" s="8">
        <v>-6.6396270346255823E-3</v>
      </c>
      <c r="HH89" s="8">
        <v>2.8224360125559886E-3</v>
      </c>
      <c r="HI89" s="8">
        <v>3.4981304461016924E-3</v>
      </c>
      <c r="HJ89" s="8">
        <v>-2.9482423201318331E-2</v>
      </c>
      <c r="HK89" s="8">
        <v>-1.4178648096246083E-3</v>
      </c>
      <c r="HL89" s="8">
        <v>2.0242963248071635E-2</v>
      </c>
      <c r="HM89" s="8">
        <v>-1.1250561308702445E-4</v>
      </c>
      <c r="HN89" s="8">
        <v>1.968649833609986E-2</v>
      </c>
      <c r="HO89" s="8">
        <v>1.0090172593558759E-2</v>
      </c>
      <c r="HP89" s="8">
        <v>1.2422679143515837E-2</v>
      </c>
      <c r="HQ89" s="8">
        <v>-2.6842983946672734E-2</v>
      </c>
      <c r="HR89" s="8">
        <v>-1.2237822869720777E-3</v>
      </c>
      <c r="HS89" s="8">
        <v>-2.5087127013959098E-4</v>
      </c>
      <c r="HT89" s="8">
        <v>4.8032600993955094E-2</v>
      </c>
      <c r="HU89" s="8">
        <v>-6.3459174950376354E-3</v>
      </c>
      <c r="HV89" s="8">
        <v>-1.5746288035257128E-3</v>
      </c>
      <c r="HW89" s="8">
        <v>2.3535077260206094E-4</v>
      </c>
      <c r="HX89" s="8">
        <v>2.7517694821443929E-2</v>
      </c>
      <c r="HY89" s="8">
        <v>-1.0866945810230698E-2</v>
      </c>
      <c r="HZ89" s="8">
        <v>-1.0040061439597646E-2</v>
      </c>
      <c r="IA89" s="8">
        <v>3.7386241198945493E-2</v>
      </c>
      <c r="IB89" s="8">
        <v>-6.6903759610286162E-3</v>
      </c>
      <c r="IC89" s="8">
        <v>-3.7697451849230963E-2</v>
      </c>
      <c r="ID89" s="8">
        <v>-1.3782302610576433E-2</v>
      </c>
      <c r="IE89" s="8">
        <v>2.127908497903061E-2</v>
      </c>
      <c r="IF89" s="8">
        <v>-1.2199293871134123E-3</v>
      </c>
      <c r="IG89" s="8">
        <v>6.5975840151525911E-3</v>
      </c>
      <c r="IH89" s="8">
        <v>-2.2228884078462748E-2</v>
      </c>
      <c r="II89" s="8">
        <v>1.0124032210352768E-2</v>
      </c>
      <c r="IJ89" s="8">
        <v>1.6868228438753942E-2</v>
      </c>
      <c r="IK89" s="8">
        <v>1.3621246946951965E-2</v>
      </c>
      <c r="IL89" s="8">
        <v>-9.1250210528481604E-3</v>
      </c>
      <c r="IM89" s="8">
        <v>-4.8996510488855859E-2</v>
      </c>
      <c r="IN89" s="8">
        <v>-2.0296903240809121E-2</v>
      </c>
      <c r="IO89" s="8">
        <v>-5.6824213948252378E-2</v>
      </c>
      <c r="IP89" s="8">
        <v>2.7590829362305697E-2</v>
      </c>
      <c r="IQ89" s="8">
        <v>-1.4764193532057844E-2</v>
      </c>
      <c r="IR89" s="8">
        <v>8.7862858309195602E-4</v>
      </c>
      <c r="IS89" s="8">
        <v>1.68846928403419E-3</v>
      </c>
      <c r="IT89" s="8">
        <v>3.0264298814377387E-2</v>
      </c>
    </row>
    <row r="90" spans="1:254" s="11" customFormat="1" x14ac:dyDescent="0.2">
      <c r="A90" s="10"/>
      <c r="B90" s="12">
        <v>9.25</v>
      </c>
      <c r="C90" s="2">
        <f t="shared" si="43"/>
        <v>5.7825959054703963E-3</v>
      </c>
      <c r="D90" s="3">
        <f t="shared" si="44"/>
        <v>1.8625246197300119E-2</v>
      </c>
      <c r="E90" s="8">
        <v>1.7691541562859028E-3</v>
      </c>
      <c r="F90" s="8">
        <v>1.8350837045511423E-2</v>
      </c>
      <c r="G90" s="8">
        <v>9.314993223023052E-3</v>
      </c>
      <c r="H90" s="8">
        <v>5.1818593860990733E-3</v>
      </c>
      <c r="I90" s="8">
        <v>2.208451404423474E-3</v>
      </c>
      <c r="J90" s="8">
        <v>4.5437201619445144E-2</v>
      </c>
      <c r="K90" s="8">
        <v>1.5181346029171698E-2</v>
      </c>
      <c r="L90" s="8">
        <v>3.9512726114473457E-2</v>
      </c>
      <c r="M90" s="8">
        <v>1.4668550244856735E-3</v>
      </c>
      <c r="N90" s="8">
        <v>-3.8547857924689927E-3</v>
      </c>
      <c r="O90" s="8">
        <v>1.0401586727118092E-3</v>
      </c>
      <c r="P90" s="8">
        <v>-3.3668577046656732E-2</v>
      </c>
      <c r="Q90" s="8">
        <v>-1.0042624514100672E-2</v>
      </c>
      <c r="R90" s="8">
        <v>-3.8788877107586717E-3</v>
      </c>
      <c r="S90" s="8">
        <v>2.2614336432137117E-2</v>
      </c>
      <c r="T90" s="8">
        <v>7.7061485267853752E-3</v>
      </c>
      <c r="U90" s="8">
        <v>2.0379457654097211E-3</v>
      </c>
      <c r="V90" s="8">
        <v>3.0119296975621435E-3</v>
      </c>
      <c r="W90" s="8">
        <v>8.8528533182703276E-3</v>
      </c>
      <c r="X90" s="8">
        <v>-1.0625940555280745E-2</v>
      </c>
      <c r="Y90" s="8">
        <v>-9.41197204896594E-3</v>
      </c>
      <c r="Z90" s="8">
        <v>-1.1722003841065254E-2</v>
      </c>
      <c r="AA90" s="8">
        <v>-4.8066918865092519E-2</v>
      </c>
      <c r="AB90" s="8">
        <v>8.1885299788718585E-3</v>
      </c>
      <c r="AC90" s="8">
        <v>-4.5170836436454892E-3</v>
      </c>
      <c r="AD90" s="8">
        <v>-1.4253541897341744E-2</v>
      </c>
      <c r="AE90" s="8">
        <v>1.5448519741385169E-2</v>
      </c>
      <c r="AF90" s="8">
        <v>-2.7530514160000963E-2</v>
      </c>
      <c r="AG90" s="8">
        <v>9.4605472751390918E-3</v>
      </c>
      <c r="AH90" s="8">
        <v>-5.8904005186496272E-3</v>
      </c>
      <c r="AI90" s="8">
        <v>-5.4131083033205352E-3</v>
      </c>
      <c r="AJ90" s="8">
        <v>1.0866905801320041E-2</v>
      </c>
      <c r="AK90" s="8">
        <v>-1.8087166946787532E-2</v>
      </c>
      <c r="AL90" s="8">
        <v>-3.8929332908857542E-3</v>
      </c>
      <c r="AM90" s="8">
        <v>3.8212347951472533E-3</v>
      </c>
      <c r="AN90" s="8">
        <v>-5.3862780164925239E-3</v>
      </c>
      <c r="AO90" s="8">
        <v>3.2735983899146448E-3</v>
      </c>
      <c r="AP90" s="8">
        <v>8.7046888782424323E-3</v>
      </c>
      <c r="AQ90" s="8">
        <v>-2.3617169006314609E-2</v>
      </c>
      <c r="AR90" s="8">
        <v>2.2839462444652917E-2</v>
      </c>
      <c r="AS90" s="8">
        <v>-3.4882524340333343E-3</v>
      </c>
      <c r="AT90" s="8">
        <v>2.0390818736224919E-3</v>
      </c>
      <c r="AU90" s="8">
        <v>-5.3150684700907294E-3</v>
      </c>
      <c r="AV90" s="8">
        <v>2.3352579405146533E-2</v>
      </c>
      <c r="AW90" s="8">
        <v>-3.1421428297236098E-4</v>
      </c>
      <c r="AX90" s="8">
        <v>6.4843327401418599E-3</v>
      </c>
      <c r="AY90" s="8">
        <v>2.0970645094665251E-2</v>
      </c>
      <c r="AZ90" s="8">
        <v>-3.4411915133746064E-2</v>
      </c>
      <c r="BA90" s="8">
        <v>-8.8852995648727243E-3</v>
      </c>
      <c r="BB90" s="8">
        <v>-1.9500607482549406E-3</v>
      </c>
      <c r="BC90" s="8">
        <v>-2.5007231258516983E-2</v>
      </c>
      <c r="BD90" s="8">
        <v>-3.2702640423818777E-3</v>
      </c>
      <c r="BE90" s="8">
        <v>1.6586357807627232E-2</v>
      </c>
      <c r="BF90" s="8">
        <v>-8.3931237783017171E-4</v>
      </c>
      <c r="BG90" s="8">
        <v>-4.7492065125885122E-3</v>
      </c>
      <c r="BH90" s="8">
        <v>-2.7576230437626255E-2</v>
      </c>
      <c r="BI90" s="8">
        <v>1.8922673138943476E-2</v>
      </c>
      <c r="BJ90" s="8">
        <v>1.0890438675251322E-2</v>
      </c>
      <c r="BK90" s="8">
        <v>7.5487502610184706E-3</v>
      </c>
      <c r="BL90" s="8">
        <v>3.1150930029896967E-2</v>
      </c>
      <c r="BM90" s="8">
        <v>1.4136647858539464E-3</v>
      </c>
      <c r="BN90" s="8">
        <v>2.0637406477261866E-3</v>
      </c>
      <c r="BO90" s="8">
        <v>-1.0022802734691361E-2</v>
      </c>
      <c r="BP90" s="8">
        <v>-1.9543486211407599E-2</v>
      </c>
      <c r="BQ90" s="8">
        <v>2.2807774334572907E-2</v>
      </c>
      <c r="BR90" s="8">
        <v>-1.2645227487058576E-2</v>
      </c>
      <c r="BS90" s="8">
        <v>8.0373700658088396E-3</v>
      </c>
      <c r="BT90" s="8">
        <v>-1.8148813988189932E-2</v>
      </c>
      <c r="BU90" s="8">
        <v>1.898817968231916E-2</v>
      </c>
      <c r="BV90" s="8">
        <v>-2.053823058295081E-2</v>
      </c>
      <c r="BW90" s="8">
        <v>1.2224127482560278E-2</v>
      </c>
      <c r="BX90" s="8">
        <v>-3.4665202658773403E-2</v>
      </c>
      <c r="BY90" s="8">
        <v>4.0593509092222077E-3</v>
      </c>
      <c r="BZ90" s="8">
        <v>-2.231569795832624E-2</v>
      </c>
      <c r="CA90" s="8">
        <v>-2.1139382075372116E-2</v>
      </c>
      <c r="CB90" s="8">
        <v>2.9553871408495858E-3</v>
      </c>
      <c r="CC90" s="8">
        <v>1.025821127855716E-2</v>
      </c>
      <c r="CD90" s="8">
        <v>8.6228820212412086E-3</v>
      </c>
      <c r="CE90" s="8">
        <v>4.2114630404470194E-3</v>
      </c>
      <c r="CF90" s="8">
        <v>-6.3421456181716324E-3</v>
      </c>
      <c r="CG90" s="8">
        <v>1.0249326486489532E-2</v>
      </c>
      <c r="CH90" s="8">
        <v>5.247254089665844E-3</v>
      </c>
      <c r="CI90" s="8">
        <v>-1.3660112255777346E-2</v>
      </c>
      <c r="CJ90" s="8">
        <v>6.0175335372203848E-3</v>
      </c>
      <c r="CK90" s="8">
        <v>-9.3282565604643763E-3</v>
      </c>
      <c r="CL90" s="8">
        <v>-6.3669254549384435E-3</v>
      </c>
      <c r="CM90" s="8">
        <v>6.2988526546605625E-3</v>
      </c>
      <c r="CN90" s="8">
        <v>-3.2861516766854101E-3</v>
      </c>
      <c r="CO90" s="8">
        <v>-1.2738574340237355E-2</v>
      </c>
      <c r="CP90" s="8">
        <v>-6.5534565743533696E-4</v>
      </c>
      <c r="CQ90" s="8">
        <v>3.280516585335775E-2</v>
      </c>
      <c r="CR90" s="8">
        <v>-2.2209910060024117E-2</v>
      </c>
      <c r="CS90" s="8">
        <v>-1.0793506797004894E-2</v>
      </c>
      <c r="CT90" s="8">
        <v>-8.7182622321685249E-3</v>
      </c>
      <c r="CU90" s="8">
        <v>3.3894089834064466E-2</v>
      </c>
      <c r="CV90" s="8">
        <v>-7.8056572593190113E-3</v>
      </c>
      <c r="CW90" s="8">
        <v>-2.2663835857911326E-2</v>
      </c>
      <c r="CX90" s="8">
        <v>7.6238287023029719E-3</v>
      </c>
      <c r="CY90" s="8">
        <v>2.0596028384408681E-2</v>
      </c>
      <c r="CZ90" s="8">
        <v>1.8850687826749243E-2</v>
      </c>
      <c r="DA90" s="8">
        <v>8.7711258145578425E-3</v>
      </c>
      <c r="DB90" s="8">
        <v>-1.1645995380459115E-2</v>
      </c>
      <c r="DC90" s="8">
        <v>-9.2934367852243877E-4</v>
      </c>
      <c r="DD90" s="8">
        <v>-1.176517828406394E-3</v>
      </c>
      <c r="DE90" s="8">
        <v>-1.521449400371612E-2</v>
      </c>
      <c r="DF90" s="8">
        <v>2.348214122046699E-2</v>
      </c>
      <c r="DG90" s="8">
        <v>-3.3835341935134884E-2</v>
      </c>
      <c r="DH90" s="8">
        <v>-1.3425690156118532E-2</v>
      </c>
      <c r="DI90" s="8">
        <v>-1.4040197854458078E-2</v>
      </c>
      <c r="DJ90" s="8">
        <v>-3.0338357104560745E-3</v>
      </c>
      <c r="DK90" s="8">
        <v>1.1919643230439411E-2</v>
      </c>
      <c r="DL90" s="8">
        <v>1.1027981837908304E-2</v>
      </c>
      <c r="DM90" s="8">
        <v>7.454924760497271E-3</v>
      </c>
      <c r="DN90" s="8">
        <v>2.3208444355002716E-2</v>
      </c>
      <c r="DO90" s="8">
        <v>-2.5230595930623025E-2</v>
      </c>
      <c r="DP90" s="8">
        <v>1.308350545412354E-2</v>
      </c>
      <c r="DQ90" s="8">
        <v>1.5131095213843579E-3</v>
      </c>
      <c r="DR90" s="8">
        <v>-1.6193384290448698E-2</v>
      </c>
      <c r="DS90" s="8">
        <v>6.1940455709297501E-3</v>
      </c>
      <c r="DT90" s="8">
        <v>-5.1704616135481163E-3</v>
      </c>
      <c r="DU90" s="8">
        <v>4.7123470174741319E-3</v>
      </c>
      <c r="DV90" s="8">
        <v>1.7116091003656492E-3</v>
      </c>
      <c r="DW90" s="8">
        <v>-2.3489313336206505E-3</v>
      </c>
      <c r="DX90" s="8">
        <v>2.27074055440038E-2</v>
      </c>
      <c r="DY90" s="8">
        <v>-4.4110330068466569E-3</v>
      </c>
      <c r="DZ90" s="8">
        <v>-1.1172618507063671E-2</v>
      </c>
      <c r="EA90" s="8">
        <v>3.5792152732659989E-2</v>
      </c>
      <c r="EB90" s="8">
        <v>-9.3021939089248801E-4</v>
      </c>
      <c r="EC90" s="8">
        <v>1.0082213316461704E-2</v>
      </c>
      <c r="ED90" s="8">
        <v>1.8412807215023683E-2</v>
      </c>
      <c r="EE90" s="8">
        <v>1.1405890058467108E-2</v>
      </c>
      <c r="EF90" s="8">
        <v>-1.5827169708824126E-2</v>
      </c>
      <c r="EG90" s="8">
        <v>8.8571490758511048E-3</v>
      </c>
      <c r="EH90" s="8">
        <v>-1.944295718277117E-3</v>
      </c>
      <c r="EI90" s="8">
        <v>-1.7040110179646864E-2</v>
      </c>
      <c r="EJ90" s="8">
        <v>8.8766082521929968E-3</v>
      </c>
      <c r="EK90" s="8">
        <v>-1.075922466905313E-2</v>
      </c>
      <c r="EL90" s="8">
        <v>5.7744280775310075E-3</v>
      </c>
      <c r="EM90" s="8">
        <v>-1.1746048190847125E-2</v>
      </c>
      <c r="EN90" s="8">
        <v>-1.2730179027263686E-2</v>
      </c>
      <c r="EO90" s="8">
        <v>-2.9430849218890706E-3</v>
      </c>
      <c r="EP90" s="8">
        <v>1.5838882764432016E-2</v>
      </c>
      <c r="EQ90" s="8">
        <v>1.5936359508421032E-2</v>
      </c>
      <c r="ER90" s="8">
        <v>-2.2740488204061694E-2</v>
      </c>
      <c r="ES90" s="8">
        <v>1.3252064594902788E-2</v>
      </c>
      <c r="ET90" s="8">
        <v>2.4116480689932926E-3</v>
      </c>
      <c r="EU90" s="8">
        <v>6.4898247757378402E-3</v>
      </c>
      <c r="EV90" s="8">
        <v>-1.6088193337401024E-2</v>
      </c>
      <c r="EW90" s="8">
        <v>-7.1711549370665553E-3</v>
      </c>
      <c r="EX90" s="8">
        <v>9.8576307212350153E-3</v>
      </c>
      <c r="EY90" s="8">
        <v>3.2730562610494493E-3</v>
      </c>
      <c r="EZ90" s="8">
        <v>-8.3038990713789965E-3</v>
      </c>
      <c r="FA90" s="8">
        <v>-1.3735931819171265E-4</v>
      </c>
      <c r="FB90" s="8">
        <v>-4.44327171241609E-3</v>
      </c>
      <c r="FC90" s="8">
        <v>-3.4784323061640032E-2</v>
      </c>
      <c r="FD90" s="8">
        <v>1.3212430402673135E-2</v>
      </c>
      <c r="FE90" s="8">
        <v>8.9218745091865156E-3</v>
      </c>
      <c r="FF90" s="8">
        <v>-3.5446588259755579E-4</v>
      </c>
      <c r="FG90" s="8">
        <v>6.5655597495018203E-3</v>
      </c>
      <c r="FH90" s="8">
        <v>-6.8064800647834808E-3</v>
      </c>
      <c r="FI90" s="8">
        <v>1.5483564368502158E-2</v>
      </c>
      <c r="FJ90" s="8">
        <v>-1.1183583156601028E-2</v>
      </c>
      <c r="FK90" s="8">
        <v>-1.4419960189089316E-2</v>
      </c>
      <c r="FL90" s="8">
        <v>1.4024242343378783E-2</v>
      </c>
      <c r="FM90" s="8">
        <v>6.5493471704077613E-3</v>
      </c>
      <c r="FN90" s="8">
        <v>-1.7379268957893386E-2</v>
      </c>
      <c r="FO90" s="8">
        <v>2.6523465000177771E-3</v>
      </c>
      <c r="FP90" s="8">
        <v>1.2849026682618253E-3</v>
      </c>
      <c r="FQ90" s="8">
        <v>-1.652067895562475E-2</v>
      </c>
      <c r="FR90" s="8">
        <v>1.4003577444383908E-2</v>
      </c>
      <c r="FS90" s="8">
        <v>2.943623934988579E-4</v>
      </c>
      <c r="FT90" s="8">
        <v>-1.4868592021042848E-2</v>
      </c>
      <c r="FU90" s="8">
        <v>1.3508382933012368E-2</v>
      </c>
      <c r="FV90" s="8">
        <v>1.2516652846691956E-2</v>
      </c>
      <c r="FW90" s="8">
        <v>1.1150987363438156E-2</v>
      </c>
      <c r="FX90" s="8">
        <v>-5.1364750121466671E-3</v>
      </c>
      <c r="FY90" s="8">
        <v>-6.1734271698262733E-3</v>
      </c>
      <c r="FZ90" s="8">
        <v>-1.2076353022950057E-2</v>
      </c>
      <c r="GA90" s="8">
        <v>1.3154414519638245E-2</v>
      </c>
      <c r="GB90" s="8">
        <v>-2.0714095031838034E-3</v>
      </c>
      <c r="GC90" s="8">
        <v>1.2076757574556257E-2</v>
      </c>
      <c r="GD90" s="8">
        <v>-3.4099605030457614E-3</v>
      </c>
      <c r="GE90" s="8">
        <v>-4.2111266616232448E-3</v>
      </c>
      <c r="GF90" s="8">
        <v>1.1948828586773423E-2</v>
      </c>
      <c r="GG90" s="8">
        <v>-2.3490234925425131E-2</v>
      </c>
      <c r="GH90" s="8">
        <v>-8.9874165095521971E-3</v>
      </c>
      <c r="GI90" s="8">
        <v>-6.8205685556221585E-3</v>
      </c>
      <c r="GJ90" s="8">
        <v>-2.3457055114850939E-2</v>
      </c>
      <c r="GK90" s="8">
        <v>4.4406468662296777E-3</v>
      </c>
      <c r="GL90" s="8">
        <v>-6.7138756225725016E-4</v>
      </c>
      <c r="GM90" s="8">
        <v>-6.7487541381028998E-4</v>
      </c>
      <c r="GN90" s="8">
        <v>-1.2059963017487657E-3</v>
      </c>
      <c r="GO90" s="8">
        <v>-1.542808711819784E-2</v>
      </c>
      <c r="GP90" s="8">
        <v>6.473195260873553E-3</v>
      </c>
      <c r="GQ90" s="8">
        <v>-1.2788987250034724E-2</v>
      </c>
      <c r="GR90" s="8">
        <v>2.1696398650923814E-2</v>
      </c>
      <c r="GS90" s="8">
        <v>7.4442854362710559E-3</v>
      </c>
      <c r="GT90" s="8">
        <v>-2.1405597300376174E-2</v>
      </c>
      <c r="GU90" s="8">
        <v>4.4734222234750903E-3</v>
      </c>
      <c r="GV90" s="8">
        <v>-6.8647739482237749E-3</v>
      </c>
      <c r="GW90" s="8">
        <v>-1.1454362656467633E-2</v>
      </c>
      <c r="GX90" s="8">
        <v>-2.9363404725581826E-3</v>
      </c>
      <c r="GY90" s="8">
        <v>-7.2073330036983782E-3</v>
      </c>
      <c r="GZ90" s="8">
        <v>-1.4246859798271956E-2</v>
      </c>
      <c r="HA90" s="8">
        <v>-9.3597190759881002E-3</v>
      </c>
      <c r="HB90" s="8">
        <v>1.7923852603092309E-2</v>
      </c>
      <c r="HC90" s="8">
        <v>-7.9265786501558286E-3</v>
      </c>
      <c r="HD90" s="8">
        <v>-1.1725625530775274E-2</v>
      </c>
      <c r="HE90" s="8">
        <v>-2.8382526572995108E-2</v>
      </c>
      <c r="HF90" s="8">
        <v>-5.0910828181408643E-3</v>
      </c>
      <c r="HG90" s="8">
        <v>-1.301316421323663E-2</v>
      </c>
      <c r="HH90" s="8">
        <v>5.0353506187737415E-3</v>
      </c>
      <c r="HI90" s="8">
        <v>3.9793571048397577E-3</v>
      </c>
      <c r="HJ90" s="8">
        <v>-2.3246536773536337E-2</v>
      </c>
      <c r="HK90" s="8">
        <v>5.6972730261241333E-4</v>
      </c>
      <c r="HL90" s="8">
        <v>2.3075962423153011E-2</v>
      </c>
      <c r="HM90" s="8">
        <v>-4.7472882425103821E-3</v>
      </c>
      <c r="HN90" s="8">
        <v>1.8342976065014449E-2</v>
      </c>
      <c r="HO90" s="8">
        <v>4.9475666010526248E-3</v>
      </c>
      <c r="HP90" s="8">
        <v>1.8625246197300119E-2</v>
      </c>
      <c r="HQ90" s="8">
        <v>-2.7313834366193869E-2</v>
      </c>
      <c r="HR90" s="8">
        <v>-4.3166289878613512E-4</v>
      </c>
      <c r="HS90" s="8">
        <v>6.136073531647579E-3</v>
      </c>
      <c r="HT90" s="8">
        <v>3.5449258101131441E-2</v>
      </c>
      <c r="HU90" s="8">
        <v>-1.1056654934495438E-3</v>
      </c>
      <c r="HV90" s="8">
        <v>-1.5888852571885603E-3</v>
      </c>
      <c r="HW90" s="8">
        <v>1.5741783391807623E-3</v>
      </c>
      <c r="HX90" s="8">
        <v>1.9652503990965207E-2</v>
      </c>
      <c r="HY90" s="8">
        <v>-6.915053236616564E-3</v>
      </c>
      <c r="HZ90" s="8">
        <v>-8.9290506561228306E-3</v>
      </c>
      <c r="IA90" s="8">
        <v>3.4503666602940644E-2</v>
      </c>
      <c r="IB90" s="8">
        <v>-4.3507983721291915E-3</v>
      </c>
      <c r="IC90" s="8">
        <v>-2.8241874044478546E-2</v>
      </c>
      <c r="ID90" s="8">
        <v>-1.1726745648031063E-2</v>
      </c>
      <c r="IE90" s="8">
        <v>2.5120908726203914E-2</v>
      </c>
      <c r="IF90" s="8">
        <v>-1.9077091920611661E-3</v>
      </c>
      <c r="IG90" s="8">
        <v>7.8561330665710624E-3</v>
      </c>
      <c r="IH90" s="8">
        <v>-1.2745291003682067E-2</v>
      </c>
      <c r="II90" s="8">
        <v>4.199889492549784E-3</v>
      </c>
      <c r="IJ90" s="8">
        <v>1.4451474316050046E-2</v>
      </c>
      <c r="IK90" s="8">
        <v>1.3475126003165708E-2</v>
      </c>
      <c r="IL90" s="8">
        <v>-4.2622896344849184E-3</v>
      </c>
      <c r="IM90" s="8">
        <v>-3.7942731432230745E-2</v>
      </c>
      <c r="IN90" s="8">
        <v>-1.0034766035432109E-2</v>
      </c>
      <c r="IO90" s="8">
        <v>-3.898858619919119E-2</v>
      </c>
      <c r="IP90" s="8">
        <v>2.637208735102687E-2</v>
      </c>
      <c r="IQ90" s="8">
        <v>-1.0265276639916193E-2</v>
      </c>
      <c r="IR90" s="8">
        <v>4.5371861824304097E-3</v>
      </c>
      <c r="IS90" s="8">
        <v>-2.6793384632043324E-3</v>
      </c>
      <c r="IT90" s="8">
        <v>1.4436281581228685E-2</v>
      </c>
    </row>
    <row r="91" spans="1:254" s="11" customFormat="1" x14ac:dyDescent="0.2">
      <c r="A91" s="10"/>
      <c r="B91" s="12">
        <v>9.5</v>
      </c>
      <c r="C91" s="2">
        <f t="shared" si="43"/>
        <v>3.812250441737794E-3</v>
      </c>
      <c r="D91" s="3">
        <f t="shared" si="44"/>
        <v>1.1826776077739128E-2</v>
      </c>
      <c r="E91" s="8">
        <v>1.5724717506492014E-4</v>
      </c>
      <c r="F91" s="8">
        <v>1.376958492167929E-2</v>
      </c>
      <c r="G91" s="8">
        <v>7.5434389667595608E-3</v>
      </c>
      <c r="H91" s="8">
        <v>3.1531999553432791E-3</v>
      </c>
      <c r="I91" s="8">
        <v>-3.9119548970538431E-4</v>
      </c>
      <c r="J91" s="8">
        <v>3.1580626419996011E-2</v>
      </c>
      <c r="K91" s="8">
        <v>9.3546882549119248E-3</v>
      </c>
      <c r="L91" s="8">
        <v>2.6085121481984844E-2</v>
      </c>
      <c r="M91" s="8">
        <v>7.8236221551039598E-4</v>
      </c>
      <c r="N91" s="8">
        <v>-1.7991792253304918E-3</v>
      </c>
      <c r="O91" s="8">
        <v>-5.738095354491525E-3</v>
      </c>
      <c r="P91" s="8">
        <v>-2.6443022328581655E-2</v>
      </c>
      <c r="Q91" s="8">
        <v>-1.1696833614097499E-2</v>
      </c>
      <c r="R91" s="8">
        <v>3.3848861187749102E-5</v>
      </c>
      <c r="S91" s="8">
        <v>1.6571597569577289E-2</v>
      </c>
      <c r="T91" s="8">
        <v>1.6866568840308259E-3</v>
      </c>
      <c r="U91" s="8">
        <v>4.2946841570689342E-3</v>
      </c>
      <c r="V91" s="8">
        <v>1.2785042382408296E-3</v>
      </c>
      <c r="W91" s="8">
        <v>7.4513755686082539E-3</v>
      </c>
      <c r="X91" s="8">
        <v>-7.0948218649196475E-3</v>
      </c>
      <c r="Y91" s="8">
        <v>-4.6287115621765698E-3</v>
      </c>
      <c r="Z91" s="8">
        <v>-3.6252467495319074E-3</v>
      </c>
      <c r="AA91" s="8">
        <v>-3.1287748838930637E-2</v>
      </c>
      <c r="AB91" s="8">
        <v>2.205126564757267E-3</v>
      </c>
      <c r="AC91" s="8">
        <v>-2.9530479507769263E-3</v>
      </c>
      <c r="AD91" s="8">
        <v>-5.3277671197452248E-3</v>
      </c>
      <c r="AE91" s="8">
        <v>1.5440132079251226E-2</v>
      </c>
      <c r="AF91" s="8">
        <v>-1.6120338715056998E-2</v>
      </c>
      <c r="AG91" s="8">
        <v>9.6997919211573302E-3</v>
      </c>
      <c r="AH91" s="8">
        <v>-2.9303282851941802E-3</v>
      </c>
      <c r="AI91" s="8">
        <v>-3.5094675529805386E-3</v>
      </c>
      <c r="AJ91" s="8">
        <v>4.7487926071773517E-3</v>
      </c>
      <c r="AK91" s="8">
        <v>-1.2411328586901457E-2</v>
      </c>
      <c r="AL91" s="8">
        <v>-1.5698945283562429E-3</v>
      </c>
      <c r="AM91" s="8">
        <v>4.7622976905086004E-3</v>
      </c>
      <c r="AN91" s="8">
        <v>-4.2313444101488365E-3</v>
      </c>
      <c r="AO91" s="8">
        <v>1.3467074510134514E-4</v>
      </c>
      <c r="AP91" s="8">
        <v>1.9146003556694581E-3</v>
      </c>
      <c r="AQ91" s="8">
        <v>-1.2291017878159522E-2</v>
      </c>
      <c r="AR91" s="8">
        <v>1.7766357087721535E-2</v>
      </c>
      <c r="AS91" s="8">
        <v>2.5605573947323039E-3</v>
      </c>
      <c r="AT91" s="8">
        <v>2.0608946032856443E-3</v>
      </c>
      <c r="AU91" s="8">
        <v>-5.3182026463271317E-3</v>
      </c>
      <c r="AV91" s="8">
        <v>1.1327222292383868E-2</v>
      </c>
      <c r="AW91" s="8">
        <v>1.1256187125589789E-4</v>
      </c>
      <c r="AX91" s="8">
        <v>1.783151330774238E-3</v>
      </c>
      <c r="AY91" s="8">
        <v>1.1826776077739128E-2</v>
      </c>
      <c r="AZ91" s="8">
        <v>-2.3404598343547682E-2</v>
      </c>
      <c r="BA91" s="8">
        <v>-5.3539797928451038E-3</v>
      </c>
      <c r="BB91" s="8">
        <v>1.9732344015023114E-3</v>
      </c>
      <c r="BC91" s="8">
        <v>-1.6579402159131149E-2</v>
      </c>
      <c r="BD91" s="8">
        <v>-6.0782179474172526E-4</v>
      </c>
      <c r="BE91" s="8">
        <v>1.1802569222096462E-2</v>
      </c>
      <c r="BF91" s="8">
        <v>1.6690633158054254E-3</v>
      </c>
      <c r="BG91" s="8">
        <v>-2.2834276789700826E-3</v>
      </c>
      <c r="BH91" s="8">
        <v>-1.6190636065102369E-2</v>
      </c>
      <c r="BI91" s="8">
        <v>7.847853113614453E-3</v>
      </c>
      <c r="BJ91" s="8">
        <v>4.1483189631118661E-3</v>
      </c>
      <c r="BK91" s="8">
        <v>5.3724278028169786E-3</v>
      </c>
      <c r="BL91" s="8">
        <v>1.888090599975753E-2</v>
      </c>
      <c r="BM91" s="8">
        <v>-1.4642300633870876E-3</v>
      </c>
      <c r="BN91" s="8">
        <v>5.3069758287527663E-3</v>
      </c>
      <c r="BO91" s="8">
        <v>-1.1680793362188371E-2</v>
      </c>
      <c r="BP91" s="8">
        <v>-1.3010596511217731E-2</v>
      </c>
      <c r="BQ91" s="8">
        <v>1.4857606459803708E-2</v>
      </c>
      <c r="BR91" s="8">
        <v>-9.6141096195501638E-3</v>
      </c>
      <c r="BS91" s="8">
        <v>9.9673459322045486E-3</v>
      </c>
      <c r="BT91" s="8">
        <v>-1.1583773416999139E-2</v>
      </c>
      <c r="BU91" s="8">
        <v>1.4159766515900136E-2</v>
      </c>
      <c r="BV91" s="8">
        <v>-1.322836536756487E-2</v>
      </c>
      <c r="BW91" s="8">
        <v>7.7040805487333802E-3</v>
      </c>
      <c r="BX91" s="8">
        <v>-2.4210574476936489E-2</v>
      </c>
      <c r="BY91" s="8">
        <v>3.6051144228996836E-3</v>
      </c>
      <c r="BZ91" s="8">
        <v>-1.8397987052686936E-2</v>
      </c>
      <c r="CA91" s="8">
        <v>-1.5059753747961816E-2</v>
      </c>
      <c r="CB91" s="8">
        <v>1.8523205488268149E-3</v>
      </c>
      <c r="CC91" s="8">
        <v>8.9870027552164181E-3</v>
      </c>
      <c r="CD91" s="8">
        <v>9.7752340555784314E-3</v>
      </c>
      <c r="CE91" s="8">
        <v>4.6096998227799814E-3</v>
      </c>
      <c r="CF91" s="8">
        <v>-6.6541041058538579E-3</v>
      </c>
      <c r="CG91" s="8">
        <v>6.1493736694097217E-3</v>
      </c>
      <c r="CH91" s="8">
        <v>2.8936362355279528E-3</v>
      </c>
      <c r="CI91" s="8">
        <v>-6.0108235073793315E-3</v>
      </c>
      <c r="CJ91" s="8">
        <v>5.3085411690176852E-3</v>
      </c>
      <c r="CK91" s="8">
        <v>-1.6640821089095696E-3</v>
      </c>
      <c r="CL91" s="8">
        <v>-4.5625790938090133E-3</v>
      </c>
      <c r="CM91" s="8">
        <v>7.2006621491495504E-3</v>
      </c>
      <c r="CN91" s="8">
        <v>1.7522826577360852E-3</v>
      </c>
      <c r="CO91" s="8">
        <v>-7.7035305584987994E-3</v>
      </c>
      <c r="CP91" s="8">
        <v>-3.0348374952318333E-3</v>
      </c>
      <c r="CQ91" s="8">
        <v>2.3084659652884837E-2</v>
      </c>
      <c r="CR91" s="8">
        <v>-1.881812716781384E-2</v>
      </c>
      <c r="CS91" s="8">
        <v>-4.4305182324650208E-3</v>
      </c>
      <c r="CT91" s="8">
        <v>-4.5068386388728392E-3</v>
      </c>
      <c r="CU91" s="8">
        <v>1.7741226538383136E-2</v>
      </c>
      <c r="CV91" s="8">
        <v>-4.2700440045248325E-3</v>
      </c>
      <c r="CW91" s="8">
        <v>-1.5692786788820908E-2</v>
      </c>
      <c r="CX91" s="8">
        <v>6.1914351807922617E-3</v>
      </c>
      <c r="CY91" s="8">
        <v>8.998300472293521E-3</v>
      </c>
      <c r="CZ91" s="8">
        <v>1.555495207834753E-2</v>
      </c>
      <c r="DA91" s="8">
        <v>5.1233827202117888E-3</v>
      </c>
      <c r="DB91" s="8">
        <v>-7.4123344364104386E-3</v>
      </c>
      <c r="DC91" s="8">
        <v>1.4453306877315747E-3</v>
      </c>
      <c r="DD91" s="8">
        <v>8.050601518395685E-4</v>
      </c>
      <c r="DE91" s="8">
        <v>-8.2940660838201966E-3</v>
      </c>
      <c r="DF91" s="8">
        <v>1.7165074019775475E-2</v>
      </c>
      <c r="DG91" s="8">
        <v>-1.82507379096013E-2</v>
      </c>
      <c r="DH91" s="8">
        <v>-7.2774520118114167E-3</v>
      </c>
      <c r="DI91" s="8">
        <v>-9.6124771826526095E-3</v>
      </c>
      <c r="DJ91" s="8">
        <v>-4.7565463155541041E-3</v>
      </c>
      <c r="DK91" s="8">
        <v>1.0137427297687043E-2</v>
      </c>
      <c r="DL91" s="8">
        <v>4.1176237686587208E-3</v>
      </c>
      <c r="DM91" s="8">
        <v>1.3897809420138976E-3</v>
      </c>
      <c r="DN91" s="8">
        <v>1.7724712451602676E-2</v>
      </c>
      <c r="DO91" s="8">
        <v>-1.4514777359856873E-2</v>
      </c>
      <c r="DP91" s="8">
        <v>1.2388716084049484E-2</v>
      </c>
      <c r="DQ91" s="8">
        <v>-3.941476328927402E-3</v>
      </c>
      <c r="DR91" s="8">
        <v>-7.9447701002875598E-3</v>
      </c>
      <c r="DS91" s="8">
        <v>2.8590717793160643E-3</v>
      </c>
      <c r="DT91" s="8">
        <v>-1.3678585214023063E-3</v>
      </c>
      <c r="DU91" s="8">
        <v>2.6025137480090443E-3</v>
      </c>
      <c r="DV91" s="8">
        <v>2.5518853392260538E-3</v>
      </c>
      <c r="DW91" s="8">
        <v>-4.9553914173442459E-3</v>
      </c>
      <c r="DX91" s="8">
        <v>1.2623587133144341E-2</v>
      </c>
      <c r="DY91" s="8">
        <v>-6.7840753816618242E-3</v>
      </c>
      <c r="DZ91" s="8">
        <v>-7.7578384275151721E-3</v>
      </c>
      <c r="EA91" s="8">
        <v>2.3974392008508819E-2</v>
      </c>
      <c r="EB91" s="8">
        <v>1.7236762362388205E-3</v>
      </c>
      <c r="EC91" s="8">
        <v>7.3680575673467849E-3</v>
      </c>
      <c r="ED91" s="8">
        <v>1.0726755351369979E-2</v>
      </c>
      <c r="EE91" s="8">
        <v>1.0630867567732568E-2</v>
      </c>
      <c r="EF91" s="8">
        <v>-1.2112403778231917E-2</v>
      </c>
      <c r="EG91" s="8">
        <v>1.6483168622894902E-3</v>
      </c>
      <c r="EH91" s="8">
        <v>-2.5342200865126341E-4</v>
      </c>
      <c r="EI91" s="8">
        <v>-1.0166306287818394E-2</v>
      </c>
      <c r="EJ91" s="8">
        <v>6.8565682204716621E-3</v>
      </c>
      <c r="EK91" s="8">
        <v>-4.2295932494910288E-3</v>
      </c>
      <c r="EL91" s="8">
        <v>8.9214529273624193E-4</v>
      </c>
      <c r="EM91" s="8">
        <v>-5.0335329663705013E-3</v>
      </c>
      <c r="EN91" s="8">
        <v>-6.8007931833992986E-3</v>
      </c>
      <c r="EO91" s="8">
        <v>-7.3531927620115595E-3</v>
      </c>
      <c r="EP91" s="8">
        <v>1.1692281398561155E-2</v>
      </c>
      <c r="EQ91" s="8">
        <v>4.0017350185098007E-3</v>
      </c>
      <c r="ER91" s="8">
        <v>-1.4126162762707922E-2</v>
      </c>
      <c r="ES91" s="8">
        <v>1.082289696495391E-2</v>
      </c>
      <c r="ET91" s="8">
        <v>-1.2789336241523924E-3</v>
      </c>
      <c r="EU91" s="8">
        <v>1.2044836822866223E-3</v>
      </c>
      <c r="EV91" s="8">
        <v>-1.3621622272244935E-2</v>
      </c>
      <c r="EW91" s="8">
        <v>-2.5965322416542091E-3</v>
      </c>
      <c r="EX91" s="8">
        <v>7.3516527114331764E-3</v>
      </c>
      <c r="EY91" s="8">
        <v>-5.5591280833363725E-3</v>
      </c>
      <c r="EZ91" s="8">
        <v>-7.5499452022927717E-3</v>
      </c>
      <c r="FA91" s="8">
        <v>-6.1190805592784697E-4</v>
      </c>
      <c r="FB91" s="8">
        <v>-2.7192090429447591E-3</v>
      </c>
      <c r="FC91" s="8">
        <v>-2.1729561935844344E-2</v>
      </c>
      <c r="FD91" s="8">
        <v>3.9198590411823331E-3</v>
      </c>
      <c r="FE91" s="8">
        <v>1.7919313038309882E-3</v>
      </c>
      <c r="FF91" s="8">
        <v>-3.5126226779023037E-3</v>
      </c>
      <c r="FG91" s="8">
        <v>4.5915892476544387E-3</v>
      </c>
      <c r="FH91" s="8">
        <v>-6.1700212897305914E-3</v>
      </c>
      <c r="FI91" s="8">
        <v>8.9667940115209822E-3</v>
      </c>
      <c r="FJ91" s="8">
        <v>-7.9132117226035463E-3</v>
      </c>
      <c r="FK91" s="8">
        <v>-4.0818952828260181E-3</v>
      </c>
      <c r="FL91" s="8">
        <v>2.129211434501288E-3</v>
      </c>
      <c r="FM91" s="8">
        <v>1.4693183033099438E-3</v>
      </c>
      <c r="FN91" s="8">
        <v>-1.3890872198666627E-2</v>
      </c>
      <c r="FO91" s="8">
        <v>8.0756538039468313E-3</v>
      </c>
      <c r="FP91" s="8">
        <v>2.5649653230901959E-3</v>
      </c>
      <c r="FQ91" s="8">
        <v>-1.0727448078889441E-2</v>
      </c>
      <c r="FR91" s="8">
        <v>1.0347549318550944E-2</v>
      </c>
      <c r="FS91" s="8">
        <v>1.390373141098012E-3</v>
      </c>
      <c r="FT91" s="8">
        <v>-9.4438824810509948E-3</v>
      </c>
      <c r="FU91" s="8">
        <v>2.9628049121098454E-3</v>
      </c>
      <c r="FV91" s="8">
        <v>1.2831676138725424E-2</v>
      </c>
      <c r="FW91" s="8">
        <v>3.5562924755492969E-3</v>
      </c>
      <c r="FX91" s="8">
        <v>-1.4051956172756869E-3</v>
      </c>
      <c r="FY91" s="8">
        <v>-5.7223780297192203E-3</v>
      </c>
      <c r="FZ91" s="8">
        <v>-1.0206088523758105E-2</v>
      </c>
      <c r="GA91" s="8">
        <v>1.1050656181798166E-2</v>
      </c>
      <c r="GB91" s="8">
        <v>-1.9343856132887638E-3</v>
      </c>
      <c r="GC91" s="8">
        <v>7.3493646789789605E-3</v>
      </c>
      <c r="GD91" s="8">
        <v>-2.5471395127638179E-3</v>
      </c>
      <c r="GE91" s="8">
        <v>-1.5605986972328893E-3</v>
      </c>
      <c r="GF91" s="8">
        <v>7.6776057217332466E-3</v>
      </c>
      <c r="GG91" s="8">
        <v>-1.6179736769665758E-2</v>
      </c>
      <c r="GH91" s="8">
        <v>-2.9432674713315773E-3</v>
      </c>
      <c r="GI91" s="8">
        <v>-7.3163557007635653E-3</v>
      </c>
      <c r="GJ91" s="8">
        <v>-1.7307786913825649E-2</v>
      </c>
      <c r="GK91" s="8">
        <v>1.1103296882262539E-3</v>
      </c>
      <c r="GL91" s="8">
        <v>1.7331402591401826E-4</v>
      </c>
      <c r="GM91" s="8">
        <v>-3.699997933839419E-3</v>
      </c>
      <c r="GN91" s="8">
        <v>4.704719575630914E-4</v>
      </c>
      <c r="GO91" s="8">
        <v>-1.3986771025312043E-2</v>
      </c>
      <c r="GP91" s="8">
        <v>7.1388589266314535E-3</v>
      </c>
      <c r="GQ91" s="8">
        <v>-1.0597876396317849E-2</v>
      </c>
      <c r="GR91" s="8">
        <v>1.4114604465355354E-2</v>
      </c>
      <c r="GS91" s="8">
        <v>4.2726304933984119E-3</v>
      </c>
      <c r="GT91" s="8">
        <v>-1.5844834568796311E-2</v>
      </c>
      <c r="GU91" s="8">
        <v>9.1701975539603756E-3</v>
      </c>
      <c r="GV91" s="8">
        <v>-1.0817501033668367E-2</v>
      </c>
      <c r="GW91" s="8">
        <v>-9.0985475312298711E-3</v>
      </c>
      <c r="GX91" s="8">
        <v>-1.6401310891694179E-3</v>
      </c>
      <c r="GY91" s="8">
        <v>-5.6932694000161252E-3</v>
      </c>
      <c r="GZ91" s="8">
        <v>-8.6146129156446892E-3</v>
      </c>
      <c r="HA91" s="8">
        <v>-8.637962012741543E-3</v>
      </c>
      <c r="HB91" s="8">
        <v>8.867058835199039E-3</v>
      </c>
      <c r="HC91" s="8">
        <v>-4.7101942517664974E-3</v>
      </c>
      <c r="HD91" s="8">
        <v>-7.5620978971389745E-3</v>
      </c>
      <c r="HE91" s="8">
        <v>-2.1237127537536243E-2</v>
      </c>
      <c r="HF91" s="8">
        <v>-3.2200156544421321E-3</v>
      </c>
      <c r="HG91" s="8">
        <v>-7.7660382632045027E-3</v>
      </c>
      <c r="HH91" s="8">
        <v>4.9595447634967448E-3</v>
      </c>
      <c r="HI91" s="8">
        <v>3.9246987660805886E-3</v>
      </c>
      <c r="HJ91" s="8">
        <v>-1.2565572765128156E-2</v>
      </c>
      <c r="HK91" s="8">
        <v>3.7998296092779382E-3</v>
      </c>
      <c r="HL91" s="8">
        <v>1.6031131951800223E-2</v>
      </c>
      <c r="HM91" s="8">
        <v>-4.7353740056745967E-3</v>
      </c>
      <c r="HN91" s="8">
        <v>1.0170695276282588E-2</v>
      </c>
      <c r="HO91" s="8">
        <v>-2.582548797741592E-4</v>
      </c>
      <c r="HP91" s="8">
        <v>1.1541755026216977E-2</v>
      </c>
      <c r="HQ91" s="8">
        <v>-1.8364747319572869E-2</v>
      </c>
      <c r="HR91" s="8">
        <v>4.2444633324300735E-3</v>
      </c>
      <c r="HS91" s="8">
        <v>4.6437209486364095E-3</v>
      </c>
      <c r="HT91" s="8">
        <v>2.5925283750815604E-2</v>
      </c>
      <c r="HU91" s="8">
        <v>-2.4563421498643885E-3</v>
      </c>
      <c r="HV91" s="8">
        <v>-1.5489319170147627E-3</v>
      </c>
      <c r="HW91" s="8">
        <v>1.5356981564748039E-3</v>
      </c>
      <c r="HX91" s="8">
        <v>1.1952534279650092E-2</v>
      </c>
      <c r="HY91" s="8">
        <v>-5.9246925210429159E-3</v>
      </c>
      <c r="HZ91" s="8">
        <v>-5.1486047639487595E-3</v>
      </c>
      <c r="IA91" s="8">
        <v>2.3234675020876189E-2</v>
      </c>
      <c r="IB91" s="8">
        <v>-1.7916093042200897E-3</v>
      </c>
      <c r="IC91" s="8">
        <v>-2.1610069204915757E-2</v>
      </c>
      <c r="ID91" s="8">
        <v>-6.1130650947451015E-3</v>
      </c>
      <c r="IE91" s="8">
        <v>1.9374349319526609E-2</v>
      </c>
      <c r="IF91" s="8">
        <v>-2.9429221526168121E-3</v>
      </c>
      <c r="IG91" s="8">
        <v>-6.9077166862548112E-4</v>
      </c>
      <c r="IH91" s="8">
        <v>-5.193932215920502E-3</v>
      </c>
      <c r="II91" s="8">
        <v>1.1362979287254035E-3</v>
      </c>
      <c r="IJ91" s="8">
        <v>7.0501877642311257E-3</v>
      </c>
      <c r="IK91" s="8">
        <v>7.2676819839186391E-3</v>
      </c>
      <c r="IL91" s="8">
        <v>-2.1528729758048398E-3</v>
      </c>
      <c r="IM91" s="8">
        <v>-2.6803417394750079E-2</v>
      </c>
      <c r="IN91" s="8">
        <v>-7.4865340088785294E-3</v>
      </c>
      <c r="IO91" s="8">
        <v>-1.8475790346201212E-2</v>
      </c>
      <c r="IP91" s="8">
        <v>1.7502297165146126E-2</v>
      </c>
      <c r="IQ91" s="8">
        <v>-7.271086830694759E-3</v>
      </c>
      <c r="IR91" s="8">
        <v>4.3459110409365814E-3</v>
      </c>
      <c r="IS91" s="8">
        <v>-2.2303376855338959E-3</v>
      </c>
      <c r="IT91" s="8">
        <v>1.1120289555969411E-2</v>
      </c>
    </row>
    <row r="92" spans="1:254" s="11" customFormat="1" x14ac:dyDescent="0.2">
      <c r="A92" s="10"/>
      <c r="B92" s="12">
        <v>9.75</v>
      </c>
      <c r="C92" s="2">
        <f t="shared" si="43"/>
        <v>2.0094064783563329E-3</v>
      </c>
      <c r="D92" s="3">
        <f t="shared" si="44"/>
        <v>6.3675034705670142E-3</v>
      </c>
      <c r="E92" s="8">
        <v>-1.2634601205470733E-3</v>
      </c>
      <c r="F92" s="8">
        <v>6.5894282174832185E-3</v>
      </c>
      <c r="G92" s="8">
        <v>3.0916230816560569E-3</v>
      </c>
      <c r="H92" s="8">
        <v>1.1037294347036528E-3</v>
      </c>
      <c r="I92" s="8">
        <v>1.3348910013132962E-3</v>
      </c>
      <c r="J92" s="8">
        <v>1.5284478734708255E-2</v>
      </c>
      <c r="K92" s="8">
        <v>3.1904472862107295E-3</v>
      </c>
      <c r="L92" s="8">
        <v>1.3002920404900711E-2</v>
      </c>
      <c r="M92" s="8">
        <v>1.4153568143525867E-3</v>
      </c>
      <c r="N92" s="8">
        <v>-6.1502644215476535E-4</v>
      </c>
      <c r="O92" s="8">
        <v>-3.89167611407879E-3</v>
      </c>
      <c r="P92" s="8">
        <v>-1.5052712125225257E-2</v>
      </c>
      <c r="Q92" s="8">
        <v>-4.1902337879383723E-3</v>
      </c>
      <c r="R92" s="8">
        <v>2.0528613370010221E-3</v>
      </c>
      <c r="S92" s="8">
        <v>9.4703165769991493E-3</v>
      </c>
      <c r="T92" s="8">
        <v>1.1785498862895705E-5</v>
      </c>
      <c r="U92" s="8">
        <v>2.2095580900424946E-3</v>
      </c>
      <c r="V92" s="8">
        <v>-6.9974380288497125E-4</v>
      </c>
      <c r="W92" s="8">
        <v>5.4574937570346198E-3</v>
      </c>
      <c r="X92" s="8">
        <v>-2.9825951157713936E-3</v>
      </c>
      <c r="Y92" s="8">
        <v>-5.6983576412812289E-3</v>
      </c>
      <c r="Z92" s="8">
        <v>-4.8118972289590018E-3</v>
      </c>
      <c r="AA92" s="8">
        <v>-1.6041019902218186E-2</v>
      </c>
      <c r="AB92" s="8">
        <v>1.2027971078623287E-3</v>
      </c>
      <c r="AC92" s="8">
        <v>-7.1821725360243262E-4</v>
      </c>
      <c r="AD92" s="8">
        <v>-1.9133984342800409E-3</v>
      </c>
      <c r="AE92" s="8">
        <v>7.9561942878964911E-3</v>
      </c>
      <c r="AF92" s="8">
        <v>-7.4065242750866681E-3</v>
      </c>
      <c r="AG92" s="8">
        <v>6.3675034705670142E-3</v>
      </c>
      <c r="AH92" s="8">
        <v>-2.5436166987730015E-3</v>
      </c>
      <c r="AI92" s="8">
        <v>6.0110393178136601E-4</v>
      </c>
      <c r="AJ92" s="8">
        <v>2.2262292366260084E-3</v>
      </c>
      <c r="AK92" s="8">
        <v>-4.7964347270422637E-3</v>
      </c>
      <c r="AL92" s="8">
        <v>4.3749534874826766E-4</v>
      </c>
      <c r="AM92" s="8">
        <v>3.6082524953285344E-3</v>
      </c>
      <c r="AN92" s="8">
        <v>-2.1954143179827301E-3</v>
      </c>
      <c r="AO92" s="8">
        <v>4.6033217162194488E-4</v>
      </c>
      <c r="AP92" s="8">
        <v>9.4340275336824569E-4</v>
      </c>
      <c r="AQ92" s="8">
        <v>-7.9687503692774473E-3</v>
      </c>
      <c r="AR92" s="8">
        <v>9.8297596484380051E-3</v>
      </c>
      <c r="AS92" s="8">
        <v>-5.9090366536274953E-4</v>
      </c>
      <c r="AT92" s="8">
        <v>-1.6952795571317496E-3</v>
      </c>
      <c r="AU92" s="8">
        <v>-2.2437446419278674E-3</v>
      </c>
      <c r="AV92" s="8">
        <v>4.0806604080468063E-3</v>
      </c>
      <c r="AW92" s="8">
        <v>-1.7195759240259192E-3</v>
      </c>
      <c r="AX92" s="8">
        <v>4.3001106478706384E-4</v>
      </c>
      <c r="AY92" s="8">
        <v>5.0543651123351845E-3</v>
      </c>
      <c r="AZ92" s="8">
        <v>-1.4290963583058853E-2</v>
      </c>
      <c r="BA92" s="8">
        <v>3.3568642019832229E-4</v>
      </c>
      <c r="BB92" s="8">
        <v>2.1783724725645912E-3</v>
      </c>
      <c r="BC92" s="8">
        <v>-7.5673992848513255E-3</v>
      </c>
      <c r="BD92" s="8">
        <v>2.705474498946427E-3</v>
      </c>
      <c r="BE92" s="8">
        <v>5.8325724873084291E-3</v>
      </c>
      <c r="BF92" s="8">
        <v>-5.0787642208567109E-4</v>
      </c>
      <c r="BG92" s="8">
        <v>-2.0971353703485088E-3</v>
      </c>
      <c r="BH92" s="8">
        <v>-9.1685238237077735E-3</v>
      </c>
      <c r="BI92" s="8">
        <v>3.4752415941772547E-3</v>
      </c>
      <c r="BJ92" s="8">
        <v>2.2733591380038592E-3</v>
      </c>
      <c r="BK92" s="8">
        <v>1.8618585606619744E-3</v>
      </c>
      <c r="BL92" s="8">
        <v>6.1018140176252525E-3</v>
      </c>
      <c r="BM92" s="8">
        <v>-2.3882270842321054E-3</v>
      </c>
      <c r="BN92" s="8">
        <v>2.7232483043429598E-3</v>
      </c>
      <c r="BO92" s="8">
        <v>-5.0927565169720194E-3</v>
      </c>
      <c r="BP92" s="8">
        <v>-5.7695101470963579E-3</v>
      </c>
      <c r="BQ92" s="8">
        <v>9.6782060797703726E-3</v>
      </c>
      <c r="BR92" s="8">
        <v>-5.4464785556883003E-3</v>
      </c>
      <c r="BS92" s="8">
        <v>4.0346564071355399E-3</v>
      </c>
      <c r="BT92" s="8">
        <v>-5.5417482508180269E-3</v>
      </c>
      <c r="BU92" s="8">
        <v>8.4071712875347961E-3</v>
      </c>
      <c r="BV92" s="8">
        <v>-5.2765622663725077E-3</v>
      </c>
      <c r="BW92" s="8">
        <v>1.7483878649739073E-3</v>
      </c>
      <c r="BX92" s="8">
        <v>-9.6006805108714999E-3</v>
      </c>
      <c r="BY92" s="8">
        <v>3.3905838805114493E-3</v>
      </c>
      <c r="BZ92" s="8">
        <v>-9.8600580242858404E-3</v>
      </c>
      <c r="CA92" s="8">
        <v>-6.9320659036663651E-3</v>
      </c>
      <c r="CB92" s="8">
        <v>2.3950280905807968E-3</v>
      </c>
      <c r="CC92" s="8">
        <v>3.612466880217588E-3</v>
      </c>
      <c r="CD92" s="8">
        <v>4.3341045127794544E-3</v>
      </c>
      <c r="CE92" s="8">
        <v>2.8779176929836624E-3</v>
      </c>
      <c r="CF92" s="8">
        <v>-2.1313356526123806E-3</v>
      </c>
      <c r="CG92" s="8">
        <v>1.9532485903723373E-3</v>
      </c>
      <c r="CH92" s="8">
        <v>3.1782663586051915E-3</v>
      </c>
      <c r="CI92" s="8">
        <v>-4.4411002559143556E-3</v>
      </c>
      <c r="CJ92" s="8">
        <v>4.1547563063108472E-3</v>
      </c>
      <c r="CK92" s="8">
        <v>-1.4745470156157861E-3</v>
      </c>
      <c r="CL92" s="8">
        <v>-4.6470828215656786E-3</v>
      </c>
      <c r="CM92" s="8">
        <v>4.6886548027152315E-3</v>
      </c>
      <c r="CN92" s="8">
        <v>-4.5068376022201068E-4</v>
      </c>
      <c r="CO92" s="8">
        <v>-4.8343940954478741E-3</v>
      </c>
      <c r="CP92" s="8">
        <v>-4.1257149711123112E-5</v>
      </c>
      <c r="CQ92" s="8">
        <v>1.0272579662221204E-2</v>
      </c>
      <c r="CR92" s="8">
        <v>-9.5875639664578828E-3</v>
      </c>
      <c r="CS92" s="8">
        <v>-5.3168260481709431E-4</v>
      </c>
      <c r="CT92" s="8">
        <v>-3.2078030727914226E-3</v>
      </c>
      <c r="CU92" s="8">
        <v>7.8600520992610085E-3</v>
      </c>
      <c r="CV92" s="8">
        <v>-4.326208488792161E-3</v>
      </c>
      <c r="CW92" s="8">
        <v>-5.5917214945444462E-3</v>
      </c>
      <c r="CX92" s="8">
        <v>9.2058912488880013E-4</v>
      </c>
      <c r="CY92" s="8">
        <v>5.3438069392858431E-3</v>
      </c>
      <c r="CZ92" s="8">
        <v>7.5461812456920751E-3</v>
      </c>
      <c r="DA92" s="8">
        <v>3.3785325284701392E-3</v>
      </c>
      <c r="DB92" s="8">
        <v>-4.7846821388449184E-3</v>
      </c>
      <c r="DC92" s="8">
        <v>2.0430186231237962E-3</v>
      </c>
      <c r="DD92" s="8">
        <v>2.0602788625145932E-3</v>
      </c>
      <c r="DE92" s="8">
        <v>-3.0836444644716191E-3</v>
      </c>
      <c r="DF92" s="8">
        <v>8.3965482160263429E-3</v>
      </c>
      <c r="DG92" s="8">
        <v>-9.2434529509635294E-3</v>
      </c>
      <c r="DH92" s="8">
        <v>-1.4932796428871777E-3</v>
      </c>
      <c r="DI92" s="8">
        <v>-4.7087541325847512E-3</v>
      </c>
      <c r="DJ92" s="8">
        <v>-4.3176997134088471E-3</v>
      </c>
      <c r="DK92" s="8">
        <v>6.255940613528372E-3</v>
      </c>
      <c r="DL92" s="8">
        <v>9.4366054847950381E-4</v>
      </c>
      <c r="DM92" s="8">
        <v>2.3386517000594034E-3</v>
      </c>
      <c r="DN92" s="8">
        <v>8.9475514754991971E-3</v>
      </c>
      <c r="DO92" s="8">
        <v>-6.3938078410495369E-3</v>
      </c>
      <c r="DP92" s="8">
        <v>7.1259539676871552E-3</v>
      </c>
      <c r="DQ92" s="8">
        <v>-3.0371778695152205E-3</v>
      </c>
      <c r="DR92" s="8">
        <v>-4.410721468990169E-3</v>
      </c>
      <c r="DS92" s="8">
        <v>2.6312345531237062E-3</v>
      </c>
      <c r="DT92" s="8">
        <v>-8.1446314718433381E-4</v>
      </c>
      <c r="DU92" s="8">
        <v>5.1505040093464786E-4</v>
      </c>
      <c r="DV92" s="8">
        <v>1.496388119903257E-3</v>
      </c>
      <c r="DW92" s="8">
        <v>-4.8396331557617519E-3</v>
      </c>
      <c r="DX92" s="8">
        <v>5.829261170485326E-3</v>
      </c>
      <c r="DY92" s="8">
        <v>-3.820638788172584E-3</v>
      </c>
      <c r="DZ92" s="8">
        <v>-2.4331072135927601E-3</v>
      </c>
      <c r="EA92" s="8">
        <v>1.4910498779677787E-2</v>
      </c>
      <c r="EB92" s="8">
        <v>1.5041440861218777E-3</v>
      </c>
      <c r="EC92" s="8">
        <v>3.6881451086218809E-3</v>
      </c>
      <c r="ED92" s="8">
        <v>4.2158705404546915E-3</v>
      </c>
      <c r="EE92" s="8">
        <v>5.2289010436108833E-3</v>
      </c>
      <c r="EF92" s="8">
        <v>-7.8350084556385261E-3</v>
      </c>
      <c r="EG92" s="8">
        <v>1.5830009552381379E-3</v>
      </c>
      <c r="EH92" s="8">
        <v>-1.5593304655778534E-3</v>
      </c>
      <c r="EI92" s="8">
        <v>-6.8903204179686234E-3</v>
      </c>
      <c r="EJ92" s="8">
        <v>3.3401780762006787E-3</v>
      </c>
      <c r="EK92" s="8">
        <v>-2.4577426731884362E-3</v>
      </c>
      <c r="EL92" s="8">
        <v>2.5513397343192717E-3</v>
      </c>
      <c r="EM92" s="8">
        <v>-1.7745728265056784E-3</v>
      </c>
      <c r="EN92" s="8">
        <v>-6.0843993438257638E-3</v>
      </c>
      <c r="EO92" s="8">
        <v>-1.5127190584594066E-3</v>
      </c>
      <c r="EP92" s="8">
        <v>6.5868353738897517E-3</v>
      </c>
      <c r="EQ92" s="8">
        <v>2.2630741847240333E-3</v>
      </c>
      <c r="ER92" s="8">
        <v>-7.2154599674262073E-3</v>
      </c>
      <c r="ES92" s="8">
        <v>4.9856623358999052E-3</v>
      </c>
      <c r="ET92" s="8">
        <v>-2.846551071130729E-3</v>
      </c>
      <c r="EU92" s="8">
        <v>-4.1058983546476274E-4</v>
      </c>
      <c r="EV92" s="8">
        <v>-6.3772684543918316E-3</v>
      </c>
      <c r="EW92" s="8">
        <v>-1.8512372065588988E-3</v>
      </c>
      <c r="EX92" s="8">
        <v>2.2365080563019092E-3</v>
      </c>
      <c r="EY92" s="8">
        <v>-4.4362733777040513E-3</v>
      </c>
      <c r="EZ92" s="8">
        <v>-2.8623474227038002E-3</v>
      </c>
      <c r="FA92" s="8">
        <v>-1.2293053310482444E-4</v>
      </c>
      <c r="FB92" s="8">
        <v>-1.7930114471879956E-3</v>
      </c>
      <c r="FC92" s="8">
        <v>-1.2097887981679193E-2</v>
      </c>
      <c r="FD92" s="8">
        <v>1.4296299692002565E-3</v>
      </c>
      <c r="FE92" s="8">
        <v>1.0784938145986748E-3</v>
      </c>
      <c r="FF92" s="8">
        <v>-2.0148175539658978E-3</v>
      </c>
      <c r="FG92" s="8">
        <v>4.2479791421837602E-3</v>
      </c>
      <c r="FH92" s="8">
        <v>-4.0750472259270167E-3</v>
      </c>
      <c r="FI92" s="8">
        <v>3.4067496017471631E-3</v>
      </c>
      <c r="FJ92" s="8">
        <v>-3.7421661270086379E-3</v>
      </c>
      <c r="FK92" s="8">
        <v>-2.068933547686955E-3</v>
      </c>
      <c r="FL92" s="8">
        <v>1.2752142038946826E-4</v>
      </c>
      <c r="FM92" s="8">
        <v>5.3649911015154345E-4</v>
      </c>
      <c r="FN92" s="8">
        <v>-7.7220752575069603E-3</v>
      </c>
      <c r="FO92" s="8">
        <v>3.1279587367902921E-3</v>
      </c>
      <c r="FP92" s="8">
        <v>1.4552115236664796E-3</v>
      </c>
      <c r="FQ92" s="8">
        <v>-3.3079301482060314E-3</v>
      </c>
      <c r="FR92" s="8">
        <v>8.0110317863627233E-3</v>
      </c>
      <c r="FS92" s="8">
        <v>8.1564686772146386E-4</v>
      </c>
      <c r="FT92" s="8">
        <v>-5.3171905171866679E-3</v>
      </c>
      <c r="FU92" s="8">
        <v>1.3008517794663027E-3</v>
      </c>
      <c r="FV92" s="8">
        <v>4.3621634031193804E-3</v>
      </c>
      <c r="FW92" s="8">
        <v>6.4107418294774565E-5</v>
      </c>
      <c r="FX92" s="8">
        <v>2.6283358616921611E-4</v>
      </c>
      <c r="FY92" s="8">
        <v>-3.4953371356360521E-3</v>
      </c>
      <c r="FZ92" s="8">
        <v>-6.1684669722696355E-3</v>
      </c>
      <c r="GA92" s="8">
        <v>6.607390631767884E-3</v>
      </c>
      <c r="GB92" s="8">
        <v>7.3075882930548515E-4</v>
      </c>
      <c r="GC92" s="8">
        <v>5.5250092354446161E-3</v>
      </c>
      <c r="GD92" s="8">
        <v>6.7522431703569141E-5</v>
      </c>
      <c r="GE92" s="8">
        <v>5.5504603675840189E-4</v>
      </c>
      <c r="GF92" s="8">
        <v>2.687116719561379E-3</v>
      </c>
      <c r="GG92" s="8">
        <v>-8.1417827184760636E-3</v>
      </c>
      <c r="GH92" s="8">
        <v>-1.85829030468148E-3</v>
      </c>
      <c r="GI92" s="8">
        <v>-3.2474174993911906E-3</v>
      </c>
      <c r="GJ92" s="8">
        <v>-6.2356578678617464E-3</v>
      </c>
      <c r="GK92" s="8">
        <v>3.4761217868035897E-3</v>
      </c>
      <c r="GL92" s="8">
        <v>-8.0114649286600753E-4</v>
      </c>
      <c r="GM92" s="8">
        <v>-6.6608413151778706E-4</v>
      </c>
      <c r="GN92" s="8">
        <v>-9.6224081167983408E-4</v>
      </c>
      <c r="GO92" s="8">
        <v>-5.3637238132961795E-3</v>
      </c>
      <c r="GP92" s="8">
        <v>6.6506860587795692E-3</v>
      </c>
      <c r="GQ92" s="8">
        <v>-4.0559336478161005E-3</v>
      </c>
      <c r="GR92" s="8">
        <v>5.7593415272710804E-3</v>
      </c>
      <c r="GS92" s="8">
        <v>2.5139890940257415E-3</v>
      </c>
      <c r="GT92" s="8">
        <v>-7.8561239155687437E-3</v>
      </c>
      <c r="GU92" s="8">
        <v>3.9795591223210375E-3</v>
      </c>
      <c r="GV92" s="8">
        <v>-5.5718851822073642E-3</v>
      </c>
      <c r="GW92" s="8">
        <v>-3.2205164540162201E-3</v>
      </c>
      <c r="GX92" s="8">
        <v>-6.6302794341026317E-4</v>
      </c>
      <c r="GY92" s="8">
        <v>-2.3274269416569647E-3</v>
      </c>
      <c r="GZ92" s="8">
        <v>-5.7854869965195694E-3</v>
      </c>
      <c r="HA92" s="8">
        <v>-5.2079419500114972E-3</v>
      </c>
      <c r="HB92" s="8">
        <v>5.2229127587308556E-3</v>
      </c>
      <c r="HC92" s="8">
        <v>-1.2341317728397482E-3</v>
      </c>
      <c r="HD92" s="8">
        <v>-3.7806207756495847E-3</v>
      </c>
      <c r="HE92" s="8">
        <v>-1.0384955807920548E-2</v>
      </c>
      <c r="HF92" s="8">
        <v>-1.8719071868688476E-3</v>
      </c>
      <c r="HG92" s="8">
        <v>-5.6262932565392561E-3</v>
      </c>
      <c r="HH92" s="8">
        <v>3.3142537414690212E-3</v>
      </c>
      <c r="HI92" s="8">
        <v>1.8524709620210324E-3</v>
      </c>
      <c r="HJ92" s="8">
        <v>-3.7133446927799674E-3</v>
      </c>
      <c r="HK92" s="8">
        <v>1.2800752295091603E-3</v>
      </c>
      <c r="HL92" s="8">
        <v>8.3736976146645652E-3</v>
      </c>
      <c r="HM92" s="8">
        <v>-3.0661062013078166E-3</v>
      </c>
      <c r="HN92" s="8">
        <v>3.5879015789701194E-3</v>
      </c>
      <c r="HO92" s="8">
        <v>-2.8787169766477522E-4</v>
      </c>
      <c r="HP92" s="8">
        <v>9.7351489319255271E-3</v>
      </c>
      <c r="HQ92" s="8">
        <v>-9.877804413306341E-3</v>
      </c>
      <c r="HR92" s="8">
        <v>5.2802002932329437E-4</v>
      </c>
      <c r="HS92" s="8">
        <v>3.3349307710283174E-3</v>
      </c>
      <c r="HT92" s="8">
        <v>1.2974547247914843E-2</v>
      </c>
      <c r="HU92" s="8">
        <v>2.519175620413136E-4</v>
      </c>
      <c r="HV92" s="8">
        <v>-1.3220427469930306E-3</v>
      </c>
      <c r="HW92" s="8">
        <v>4.769603437956519E-4</v>
      </c>
      <c r="HX92" s="8">
        <v>6.3329017760274612E-3</v>
      </c>
      <c r="HY92" s="8">
        <v>-1.6492627392981091E-3</v>
      </c>
      <c r="HZ92" s="8">
        <v>-2.4769735960952569E-3</v>
      </c>
      <c r="IA92" s="8">
        <v>9.0038753179736385E-3</v>
      </c>
      <c r="IB92" s="8">
        <v>-1.1166562735595298E-3</v>
      </c>
      <c r="IC92" s="8">
        <v>-1.004856371333341E-2</v>
      </c>
      <c r="ID92" s="8">
        <v>-3.4813676724028755E-3</v>
      </c>
      <c r="IE92" s="8">
        <v>9.98373904647935E-3</v>
      </c>
      <c r="IF92" s="8">
        <v>-2.8698538139778716E-3</v>
      </c>
      <c r="IG92" s="8">
        <v>9.5385364103837446E-4</v>
      </c>
      <c r="IH92" s="8">
        <v>-5.0884483469538014E-3</v>
      </c>
      <c r="II92" s="8">
        <v>8.504551617244914E-4</v>
      </c>
      <c r="IJ92" s="8">
        <v>4.2434758071100507E-3</v>
      </c>
      <c r="IK92" s="8">
        <v>5.2250546265881562E-3</v>
      </c>
      <c r="IL92" s="8">
        <v>-1.7949402134145795E-3</v>
      </c>
      <c r="IM92" s="8">
        <v>-1.3679039812165355E-2</v>
      </c>
      <c r="IN92" s="8">
        <v>-6.0585153562748295E-3</v>
      </c>
      <c r="IO92" s="8">
        <v>-1.1412340123027194E-2</v>
      </c>
      <c r="IP92" s="8">
        <v>9.9731908348098253E-3</v>
      </c>
      <c r="IQ92" s="8">
        <v>-6.577463998129307E-3</v>
      </c>
      <c r="IR92" s="8">
        <v>3.8968679926396649E-3</v>
      </c>
      <c r="IS92" s="8">
        <v>2.47287910087211E-4</v>
      </c>
      <c r="IT92" s="8">
        <v>5.5753494223661892E-3</v>
      </c>
    </row>
    <row r="93" spans="1:254" s="11" customFormat="1" x14ac:dyDescent="0.2">
      <c r="A93" s="10"/>
      <c r="B93" s="12">
        <v>10</v>
      </c>
      <c r="C93" s="2">
        <f t="shared" si="43"/>
        <v>0</v>
      </c>
      <c r="D93" s="3">
        <f t="shared" si="44"/>
        <v>0</v>
      </c>
      <c r="E93" s="8">
        <v>0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0</v>
      </c>
      <c r="O93" s="8">
        <v>0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0</v>
      </c>
      <c r="V93" s="8">
        <v>0</v>
      </c>
      <c r="W93" s="8">
        <v>0</v>
      </c>
      <c r="X93" s="8">
        <v>0</v>
      </c>
      <c r="Y93" s="8">
        <v>0</v>
      </c>
      <c r="Z93" s="8">
        <v>0</v>
      </c>
      <c r="AA93" s="8">
        <v>0</v>
      </c>
      <c r="AB93" s="8">
        <v>0</v>
      </c>
      <c r="AC93" s="8">
        <v>0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8">
        <v>0</v>
      </c>
      <c r="AS93" s="8">
        <v>0</v>
      </c>
      <c r="AT93" s="8">
        <v>0</v>
      </c>
      <c r="AU93" s="8">
        <v>0</v>
      </c>
      <c r="AV93" s="8">
        <v>0</v>
      </c>
      <c r="AW93" s="8">
        <v>0</v>
      </c>
      <c r="AX93" s="8">
        <v>0</v>
      </c>
      <c r="AY93" s="8">
        <v>0</v>
      </c>
      <c r="AZ93" s="8">
        <v>0</v>
      </c>
      <c r="BA93" s="8">
        <v>0</v>
      </c>
      <c r="BB93" s="8">
        <v>0</v>
      </c>
      <c r="BC93" s="8">
        <v>0</v>
      </c>
      <c r="BD93" s="8">
        <v>0</v>
      </c>
      <c r="BE93" s="8">
        <v>0</v>
      </c>
      <c r="BF93" s="8">
        <v>0</v>
      </c>
      <c r="BG93" s="8">
        <v>0</v>
      </c>
      <c r="BH93" s="8">
        <v>0</v>
      </c>
      <c r="BI93" s="8">
        <v>0</v>
      </c>
      <c r="BJ93" s="8">
        <v>0</v>
      </c>
      <c r="BK93" s="8">
        <v>0</v>
      </c>
      <c r="BL93" s="8">
        <v>0</v>
      </c>
      <c r="BM93" s="8">
        <v>0</v>
      </c>
      <c r="BN93" s="8">
        <v>0</v>
      </c>
      <c r="BO93" s="8">
        <v>0</v>
      </c>
      <c r="BP93" s="8">
        <v>0</v>
      </c>
      <c r="BQ93" s="8">
        <v>0</v>
      </c>
      <c r="BR93" s="8">
        <v>0</v>
      </c>
      <c r="BS93" s="8">
        <v>0</v>
      </c>
      <c r="BT93" s="8">
        <v>0</v>
      </c>
      <c r="BU93" s="8">
        <v>0</v>
      </c>
      <c r="BV93" s="8">
        <v>0</v>
      </c>
      <c r="BW93" s="8">
        <v>0</v>
      </c>
      <c r="BX93" s="8">
        <v>0</v>
      </c>
      <c r="BY93" s="8">
        <v>0</v>
      </c>
      <c r="BZ93" s="8">
        <v>0</v>
      </c>
      <c r="CA93" s="8">
        <v>0</v>
      </c>
      <c r="CB93" s="8">
        <v>0</v>
      </c>
      <c r="CC93" s="8">
        <v>0</v>
      </c>
      <c r="CD93" s="8">
        <v>0</v>
      </c>
      <c r="CE93" s="8">
        <v>0</v>
      </c>
      <c r="CF93" s="8">
        <v>0</v>
      </c>
      <c r="CG93" s="8">
        <v>0</v>
      </c>
      <c r="CH93" s="8">
        <v>0</v>
      </c>
      <c r="CI93" s="8">
        <v>0</v>
      </c>
      <c r="CJ93" s="8">
        <v>0</v>
      </c>
      <c r="CK93" s="8">
        <v>0</v>
      </c>
      <c r="CL93" s="8">
        <v>0</v>
      </c>
      <c r="CM93" s="8">
        <v>0</v>
      </c>
      <c r="CN93" s="8">
        <v>0</v>
      </c>
      <c r="CO93" s="8">
        <v>0</v>
      </c>
      <c r="CP93" s="8">
        <v>0</v>
      </c>
      <c r="CQ93" s="8">
        <v>0</v>
      </c>
      <c r="CR93" s="8">
        <v>0</v>
      </c>
      <c r="CS93" s="8">
        <v>0</v>
      </c>
      <c r="CT93" s="8">
        <v>0</v>
      </c>
      <c r="CU93" s="8">
        <v>0</v>
      </c>
      <c r="CV93" s="8">
        <v>0</v>
      </c>
      <c r="CW93" s="8">
        <v>0</v>
      </c>
      <c r="CX93" s="8">
        <v>0</v>
      </c>
      <c r="CY93" s="8">
        <v>0</v>
      </c>
      <c r="CZ93" s="8">
        <v>0</v>
      </c>
      <c r="DA93" s="8">
        <v>0</v>
      </c>
      <c r="DB93" s="8">
        <v>0</v>
      </c>
      <c r="DC93" s="8">
        <v>0</v>
      </c>
      <c r="DD93" s="8">
        <v>0</v>
      </c>
      <c r="DE93" s="8">
        <v>0</v>
      </c>
      <c r="DF93" s="8">
        <v>0</v>
      </c>
      <c r="DG93" s="8">
        <v>0</v>
      </c>
      <c r="DH93" s="8">
        <v>0</v>
      </c>
      <c r="DI93" s="8">
        <v>0</v>
      </c>
      <c r="DJ93" s="8">
        <v>0</v>
      </c>
      <c r="DK93" s="8">
        <v>0</v>
      </c>
      <c r="DL93" s="8">
        <v>0</v>
      </c>
      <c r="DM93" s="8">
        <v>0</v>
      </c>
      <c r="DN93" s="8">
        <v>0</v>
      </c>
      <c r="DO93" s="8">
        <v>0</v>
      </c>
      <c r="DP93" s="8">
        <v>0</v>
      </c>
      <c r="DQ93" s="8">
        <v>0</v>
      </c>
      <c r="DR93" s="8">
        <v>0</v>
      </c>
      <c r="DS93" s="8">
        <v>0</v>
      </c>
      <c r="DT93" s="8">
        <v>0</v>
      </c>
      <c r="DU93" s="8">
        <v>0</v>
      </c>
      <c r="DV93" s="8">
        <v>0</v>
      </c>
      <c r="DW93" s="8">
        <v>0</v>
      </c>
      <c r="DX93" s="8">
        <v>0</v>
      </c>
      <c r="DY93" s="8">
        <v>0</v>
      </c>
      <c r="DZ93" s="8">
        <v>0</v>
      </c>
      <c r="EA93" s="8">
        <v>0</v>
      </c>
      <c r="EB93" s="8">
        <v>0</v>
      </c>
      <c r="EC93" s="8">
        <v>0</v>
      </c>
      <c r="ED93" s="8">
        <v>0</v>
      </c>
      <c r="EE93" s="8">
        <v>0</v>
      </c>
      <c r="EF93" s="8">
        <v>0</v>
      </c>
      <c r="EG93" s="8">
        <v>0</v>
      </c>
      <c r="EH93" s="8">
        <v>0</v>
      </c>
      <c r="EI93" s="8">
        <v>0</v>
      </c>
      <c r="EJ93" s="8">
        <v>0</v>
      </c>
      <c r="EK93" s="8">
        <v>0</v>
      </c>
      <c r="EL93" s="8">
        <v>0</v>
      </c>
      <c r="EM93" s="8">
        <v>0</v>
      </c>
      <c r="EN93" s="8">
        <v>0</v>
      </c>
      <c r="EO93" s="8">
        <v>0</v>
      </c>
      <c r="EP93" s="8">
        <v>0</v>
      </c>
      <c r="EQ93" s="8">
        <v>0</v>
      </c>
      <c r="ER93" s="8">
        <v>0</v>
      </c>
      <c r="ES93" s="8">
        <v>0</v>
      </c>
      <c r="ET93" s="8">
        <v>0</v>
      </c>
      <c r="EU93" s="8">
        <v>0</v>
      </c>
      <c r="EV93" s="8">
        <v>0</v>
      </c>
      <c r="EW93" s="8">
        <v>0</v>
      </c>
      <c r="EX93" s="8">
        <v>0</v>
      </c>
      <c r="EY93" s="8">
        <v>0</v>
      </c>
      <c r="EZ93" s="8">
        <v>0</v>
      </c>
      <c r="FA93" s="8">
        <v>0</v>
      </c>
      <c r="FB93" s="8">
        <v>0</v>
      </c>
      <c r="FC93" s="8">
        <v>0</v>
      </c>
      <c r="FD93" s="8">
        <v>0</v>
      </c>
      <c r="FE93" s="8">
        <v>0</v>
      </c>
      <c r="FF93" s="8">
        <v>0</v>
      </c>
      <c r="FG93" s="8">
        <v>0</v>
      </c>
      <c r="FH93" s="8">
        <v>0</v>
      </c>
      <c r="FI93" s="8">
        <v>0</v>
      </c>
      <c r="FJ93" s="8">
        <v>0</v>
      </c>
      <c r="FK93" s="8">
        <v>0</v>
      </c>
      <c r="FL93" s="8">
        <v>0</v>
      </c>
      <c r="FM93" s="8">
        <v>0</v>
      </c>
      <c r="FN93" s="8">
        <v>0</v>
      </c>
      <c r="FO93" s="8">
        <v>0</v>
      </c>
      <c r="FP93" s="8">
        <v>0</v>
      </c>
      <c r="FQ93" s="8">
        <v>0</v>
      </c>
      <c r="FR93" s="8">
        <v>0</v>
      </c>
      <c r="FS93" s="8">
        <v>0</v>
      </c>
      <c r="FT93" s="8">
        <v>0</v>
      </c>
      <c r="FU93" s="8">
        <v>0</v>
      </c>
      <c r="FV93" s="8">
        <v>0</v>
      </c>
      <c r="FW93" s="8">
        <v>0</v>
      </c>
      <c r="FX93" s="8">
        <v>0</v>
      </c>
      <c r="FY93" s="8">
        <v>0</v>
      </c>
      <c r="FZ93" s="8">
        <v>0</v>
      </c>
      <c r="GA93" s="8">
        <v>0</v>
      </c>
      <c r="GB93" s="8">
        <v>0</v>
      </c>
      <c r="GC93" s="8">
        <v>0</v>
      </c>
      <c r="GD93" s="8">
        <v>0</v>
      </c>
      <c r="GE93" s="8">
        <v>0</v>
      </c>
      <c r="GF93" s="8">
        <v>0</v>
      </c>
      <c r="GG93" s="8">
        <v>0</v>
      </c>
      <c r="GH93" s="8">
        <v>0</v>
      </c>
      <c r="GI93" s="8">
        <v>0</v>
      </c>
      <c r="GJ93" s="8">
        <v>0</v>
      </c>
      <c r="GK93" s="8">
        <v>0</v>
      </c>
      <c r="GL93" s="8">
        <v>0</v>
      </c>
      <c r="GM93" s="8">
        <v>0</v>
      </c>
      <c r="GN93" s="8">
        <v>0</v>
      </c>
      <c r="GO93" s="8">
        <v>0</v>
      </c>
      <c r="GP93" s="8">
        <v>0</v>
      </c>
      <c r="GQ93" s="8">
        <v>0</v>
      </c>
      <c r="GR93" s="8">
        <v>0</v>
      </c>
      <c r="GS93" s="8">
        <v>0</v>
      </c>
      <c r="GT93" s="8">
        <v>0</v>
      </c>
      <c r="GU93" s="8">
        <v>0</v>
      </c>
      <c r="GV93" s="8">
        <v>0</v>
      </c>
      <c r="GW93" s="8">
        <v>0</v>
      </c>
      <c r="GX93" s="8">
        <v>0</v>
      </c>
      <c r="GY93" s="8">
        <v>0</v>
      </c>
      <c r="GZ93" s="8">
        <v>0</v>
      </c>
      <c r="HA93" s="8">
        <v>0</v>
      </c>
      <c r="HB93" s="8">
        <v>0</v>
      </c>
      <c r="HC93" s="8">
        <v>0</v>
      </c>
      <c r="HD93" s="8">
        <v>0</v>
      </c>
      <c r="HE93" s="8">
        <v>0</v>
      </c>
      <c r="HF93" s="8">
        <v>0</v>
      </c>
      <c r="HG93" s="8">
        <v>0</v>
      </c>
      <c r="HH93" s="8">
        <v>0</v>
      </c>
      <c r="HI93" s="8">
        <v>0</v>
      </c>
      <c r="HJ93" s="8">
        <v>0</v>
      </c>
      <c r="HK93" s="8">
        <v>0</v>
      </c>
      <c r="HL93" s="8">
        <v>0</v>
      </c>
      <c r="HM93" s="8">
        <v>0</v>
      </c>
      <c r="HN93" s="8">
        <v>0</v>
      </c>
      <c r="HO93" s="8">
        <v>0</v>
      </c>
      <c r="HP93" s="8">
        <v>0</v>
      </c>
      <c r="HQ93" s="8">
        <v>0</v>
      </c>
      <c r="HR93" s="8">
        <v>0</v>
      </c>
      <c r="HS93" s="8">
        <v>0</v>
      </c>
      <c r="HT93" s="8">
        <v>0</v>
      </c>
      <c r="HU93" s="8">
        <v>0</v>
      </c>
      <c r="HV93" s="8">
        <v>0</v>
      </c>
      <c r="HW93" s="8">
        <v>0</v>
      </c>
      <c r="HX93" s="8">
        <v>0</v>
      </c>
      <c r="HY93" s="8">
        <v>0</v>
      </c>
      <c r="HZ93" s="8">
        <v>0</v>
      </c>
      <c r="IA93" s="8">
        <v>0</v>
      </c>
      <c r="IB93" s="8">
        <v>0</v>
      </c>
      <c r="IC93" s="8">
        <v>0</v>
      </c>
      <c r="ID93" s="8">
        <v>0</v>
      </c>
      <c r="IE93" s="8">
        <v>0</v>
      </c>
      <c r="IF93" s="8">
        <v>0</v>
      </c>
      <c r="IG93" s="8">
        <v>0</v>
      </c>
      <c r="IH93" s="8">
        <v>0</v>
      </c>
      <c r="II93" s="8">
        <v>0</v>
      </c>
      <c r="IJ93" s="8">
        <v>0</v>
      </c>
      <c r="IK93" s="8">
        <v>0</v>
      </c>
      <c r="IL93" s="8">
        <v>0</v>
      </c>
      <c r="IM93" s="8">
        <v>0</v>
      </c>
      <c r="IN93" s="8">
        <v>0</v>
      </c>
      <c r="IO93" s="8">
        <v>0</v>
      </c>
      <c r="IP93" s="8">
        <v>0</v>
      </c>
      <c r="IQ93" s="8">
        <v>0</v>
      </c>
      <c r="IR93" s="8">
        <v>0</v>
      </c>
      <c r="IS93" s="8">
        <v>0</v>
      </c>
      <c r="IT93" s="8">
        <v>0</v>
      </c>
    </row>
    <row r="94" spans="1:254" x14ac:dyDescent="0.2">
      <c r="G94" s="8"/>
      <c r="L94" s="39">
        <v>0.99338319933001384</v>
      </c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</row>
  </sheetData>
  <mergeCells count="1">
    <mergeCell ref="B9:C9"/>
  </mergeCell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RunSimulation">
                <anchor moveWithCells="1" siz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2</xdr:col>
                    <xdr:colOff>381000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Spreadsheet9.1 (2)</vt:lpstr>
      <vt:lpstr>Spreadsheet9.1</vt:lpstr>
      <vt:lpstr>Spreadsheet9.1!b_Param</vt:lpstr>
      <vt:lpstr>'Spreadsheet9.1 (2)'!b_Param</vt:lpstr>
      <vt:lpstr>Spreadsheet9.1!IR0</vt:lpstr>
      <vt:lpstr>'Spreadsheet9.1 (2)'!IR0</vt:lpstr>
      <vt:lpstr>Spreadsheet9.1!MeanRev</vt:lpstr>
      <vt:lpstr>'Spreadsheet9.1 (2)'!MeanRev</vt:lpstr>
      <vt:lpstr>Spreadsheet9.1!Simulations</vt:lpstr>
      <vt:lpstr>'Spreadsheet9.1 (2)'!Simulations</vt:lpstr>
      <vt:lpstr>Spreadsheet9.1!SwapMTM</vt:lpstr>
      <vt:lpstr>'Spreadsheet9.1 (2)'!SwapMTM</vt:lpstr>
      <vt:lpstr>Spreadsheet9.1!SwapRate</vt:lpstr>
      <vt:lpstr>'Spreadsheet9.1 (2)'!SwapRate</vt:lpstr>
      <vt:lpstr>Spreadsheet9.1!Volatility</vt:lpstr>
      <vt:lpstr>'Spreadsheet9.1 (2)'!Volatility</vt:lpstr>
    </vt:vector>
  </TitlesOfParts>
  <Company>Home 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ehayes</cp:lastModifiedBy>
  <dcterms:created xsi:type="dcterms:W3CDTF">2009-11-27T11:14:55Z</dcterms:created>
  <dcterms:modified xsi:type="dcterms:W3CDTF">2017-09-09T03:47:29Z</dcterms:modified>
</cp:coreProperties>
</file>